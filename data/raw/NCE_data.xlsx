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ikatouniversitynz-my.sharepoint.com/personal/or81_students_waikato_ac_nz/Documents/Documents/PhD/01_thesis_chapters/05_fear_study/data/raw/"/>
    </mc:Choice>
  </mc:AlternateContent>
  <xr:revisionPtr revIDLastSave="145" documentId="8_{1C509BC5-B9CD-4355-A94E-B3E32C99D6B1}" xr6:coauthVersionLast="47" xr6:coauthVersionMax="47" xr10:uidLastSave="{A37559C7-E1B4-4771-8AD6-26F106EB4C95}"/>
  <bookViews>
    <workbookView minimized="1" xWindow="58395" yWindow="3450" windowWidth="7500" windowHeight="6000" xr2:uid="{884ED942-72D7-478A-91F6-B92A4F060477}"/>
  </bookViews>
  <sheets>
    <sheet name="NCE_exp" sheetId="2" r:id="rId1"/>
    <sheet name="Long" sheetId="7" r:id="rId2"/>
    <sheet name="GoPro" sheetId="3" r:id="rId3"/>
    <sheet name="Feeding" sheetId="4" r:id="rId4"/>
    <sheet name="pellet_weigth" sheetId="5" r:id="rId5"/>
    <sheet name="Feeding2" sheetId="6" r:id="rId6"/>
  </sheets>
  <definedNames>
    <definedName name="_xlnm._FilterDatabase" localSheetId="0" hidden="1">NCE_exp!$A$1:$BL$65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4" l="1"/>
  <c r="N3" i="4" s="1"/>
  <c r="L4" i="4"/>
  <c r="N4" i="4" s="1"/>
  <c r="L5" i="4"/>
  <c r="N5" i="4" s="1"/>
  <c r="L6" i="4"/>
  <c r="N6" i="4" s="1"/>
  <c r="L7" i="4"/>
  <c r="L8" i="4"/>
  <c r="N8" i="4" s="1"/>
  <c r="L9" i="4"/>
  <c r="N9" i="4" s="1"/>
  <c r="L10" i="4"/>
  <c r="N10" i="4" s="1"/>
  <c r="L11" i="4"/>
  <c r="N11" i="4" s="1"/>
  <c r="L12" i="4"/>
  <c r="N12" i="4" s="1"/>
  <c r="L13" i="4"/>
  <c r="N13" i="4" s="1"/>
  <c r="L14" i="4"/>
  <c r="N14" i="4" s="1"/>
  <c r="L15" i="4"/>
  <c r="N15" i="4" s="1"/>
  <c r="L16" i="4"/>
  <c r="N16" i="4" s="1"/>
  <c r="L17" i="4"/>
  <c r="N17" i="4" s="1"/>
  <c r="L18" i="4"/>
  <c r="N18" i="4" s="1"/>
  <c r="L19" i="4"/>
  <c r="N19" i="4" s="1"/>
  <c r="L20" i="4"/>
  <c r="N20" i="4" s="1"/>
  <c r="L21" i="4"/>
  <c r="N21" i="4" s="1"/>
  <c r="L22" i="4"/>
  <c r="N22" i="4" s="1"/>
  <c r="L23" i="4"/>
  <c r="N23" i="4" s="1"/>
  <c r="L24" i="4"/>
  <c r="N24" i="4" s="1"/>
  <c r="L25" i="4"/>
  <c r="N25" i="4" s="1"/>
  <c r="L26" i="4"/>
  <c r="N26" i="4" s="1"/>
  <c r="L27" i="4"/>
  <c r="N27" i="4" s="1"/>
  <c r="L28" i="4"/>
  <c r="N28" i="4" s="1"/>
  <c r="L29" i="4"/>
  <c r="N29" i="4" s="1"/>
  <c r="L30" i="4"/>
  <c r="N30" i="4" s="1"/>
  <c r="L31" i="4"/>
  <c r="N31" i="4" s="1"/>
  <c r="L32" i="4"/>
  <c r="N32" i="4" s="1"/>
  <c r="L33" i="4"/>
  <c r="N33" i="4" s="1"/>
  <c r="L34" i="4"/>
  <c r="N34" i="4" s="1"/>
  <c r="L35" i="4"/>
  <c r="N35" i="4" s="1"/>
  <c r="L36" i="4"/>
  <c r="N36" i="4" s="1"/>
  <c r="L37" i="4"/>
  <c r="N37" i="4" s="1"/>
  <c r="L38" i="4"/>
  <c r="N38" i="4" s="1"/>
  <c r="L39" i="4"/>
  <c r="N39" i="4" s="1"/>
  <c r="L40" i="4"/>
  <c r="N40" i="4" s="1"/>
  <c r="L41" i="4"/>
  <c r="N41" i="4" s="1"/>
  <c r="L42" i="4"/>
  <c r="N42" i="4" s="1"/>
  <c r="L43" i="4"/>
  <c r="N43" i="4" s="1"/>
  <c r="L44" i="4"/>
  <c r="N44" i="4" s="1"/>
  <c r="L45" i="4"/>
  <c r="N45" i="4" s="1"/>
  <c r="L46" i="4"/>
  <c r="N46" i="4" s="1"/>
  <c r="L47" i="4"/>
  <c r="N47" i="4" s="1"/>
  <c r="L48" i="4"/>
  <c r="N48" i="4" s="1"/>
  <c r="L49" i="4"/>
  <c r="N49" i="4" s="1"/>
  <c r="L2" i="4"/>
  <c r="N2" i="4" s="1"/>
  <c r="M2" i="6"/>
  <c r="O2" i="6"/>
  <c r="R2" i="6"/>
  <c r="S2" i="6" s="1"/>
  <c r="W2" i="6"/>
  <c r="M3" i="6"/>
  <c r="O3" i="6" s="1"/>
  <c r="R3" i="6"/>
  <c r="S3" i="6"/>
  <c r="T3" i="6"/>
  <c r="X3" i="6" s="1"/>
  <c r="W3" i="6"/>
  <c r="M4" i="6"/>
  <c r="O4" i="6"/>
  <c r="R4" i="6"/>
  <c r="S4" i="6"/>
  <c r="T4" i="6"/>
  <c r="W4" i="6"/>
  <c r="X4" i="6"/>
  <c r="M5" i="6"/>
  <c r="O5" i="6"/>
  <c r="R5" i="6"/>
  <c r="S5" i="6" s="1"/>
  <c r="W5" i="6"/>
  <c r="M6" i="6"/>
  <c r="O6" i="6" s="1"/>
  <c r="R6" i="6"/>
  <c r="S6" i="6"/>
  <c r="T6" i="6"/>
  <c r="X6" i="6" s="1"/>
  <c r="W6" i="6"/>
  <c r="M7" i="6"/>
  <c r="O7" i="6"/>
  <c r="R7" i="6"/>
  <c r="S7" i="6"/>
  <c r="T7" i="6"/>
  <c r="W7" i="6"/>
  <c r="X7" i="6"/>
  <c r="M8" i="6"/>
  <c r="O8" i="6" s="1"/>
  <c r="R8" i="6"/>
  <c r="S8" i="6" s="1"/>
  <c r="T8" i="6"/>
  <c r="X8" i="6" s="1"/>
  <c r="W8" i="6"/>
  <c r="M9" i="6"/>
  <c r="O9" i="6"/>
  <c r="R9" i="6"/>
  <c r="T9" i="6" s="1"/>
  <c r="X9" i="6" s="1"/>
  <c r="S9" i="6"/>
  <c r="W9" i="6"/>
  <c r="M10" i="6"/>
  <c r="O10" i="6"/>
  <c r="R10" i="6"/>
  <c r="S10" i="6"/>
  <c r="T10" i="6"/>
  <c r="W10" i="6"/>
  <c r="X10" i="6"/>
  <c r="M11" i="6"/>
  <c r="O11" i="6" s="1"/>
  <c r="R11" i="6"/>
  <c r="S11" i="6"/>
  <c r="T11" i="6"/>
  <c r="X11" i="6" s="1"/>
  <c r="W11" i="6"/>
  <c r="M12" i="6"/>
  <c r="O12" i="6"/>
  <c r="R12" i="6"/>
  <c r="S12" i="6" s="1"/>
  <c r="W12" i="6"/>
  <c r="M13" i="6"/>
  <c r="O13" i="6"/>
  <c r="R13" i="6"/>
  <c r="S13" i="6"/>
  <c r="T13" i="6"/>
  <c r="X13" i="6" s="1"/>
  <c r="W13" i="6"/>
  <c r="M14" i="6"/>
  <c r="O14" i="6" s="1"/>
  <c r="R14" i="6"/>
  <c r="S14" i="6" s="1"/>
  <c r="W14" i="6"/>
  <c r="M15" i="6"/>
  <c r="O15" i="6"/>
  <c r="R15" i="6"/>
  <c r="S15" i="6"/>
  <c r="T15" i="6"/>
  <c r="W15" i="6"/>
  <c r="X15" i="6"/>
  <c r="M16" i="6"/>
  <c r="O16" i="6"/>
  <c r="R16" i="6"/>
  <c r="S16" i="6"/>
  <c r="T16" i="6"/>
  <c r="X16" i="6" s="1"/>
  <c r="W16" i="6"/>
  <c r="M17" i="6"/>
  <c r="O17" i="6"/>
  <c r="R17" i="6"/>
  <c r="S17" i="6" s="1"/>
  <c r="W17" i="6"/>
  <c r="M18" i="6"/>
  <c r="O18" i="6" s="1"/>
  <c r="R18" i="6"/>
  <c r="S18" i="6"/>
  <c r="M19" i="6"/>
  <c r="O19" i="6"/>
  <c r="R19" i="6"/>
  <c r="S19" i="6"/>
  <c r="M20" i="6"/>
  <c r="O20" i="6"/>
  <c r="R20" i="6"/>
  <c r="S20" i="6" s="1"/>
  <c r="M21" i="6"/>
  <c r="O21" i="6" s="1"/>
  <c r="R21" i="6"/>
  <c r="S21" i="6" s="1"/>
  <c r="M22" i="6"/>
  <c r="O22" i="6" s="1"/>
  <c r="R22" i="6"/>
  <c r="S22" i="6"/>
  <c r="M23" i="6"/>
  <c r="O23" i="6" s="1"/>
  <c r="R23" i="6"/>
  <c r="S23" i="6"/>
  <c r="M24" i="6"/>
  <c r="O24" i="6"/>
  <c r="R24" i="6"/>
  <c r="S24" i="6"/>
  <c r="M25" i="6"/>
  <c r="O25" i="6"/>
  <c r="R25" i="6"/>
  <c r="S25" i="6" s="1"/>
  <c r="M26" i="6"/>
  <c r="O26" i="6" s="1"/>
  <c r="R26" i="6"/>
  <c r="S26" i="6" s="1"/>
  <c r="M27" i="6"/>
  <c r="O27" i="6" s="1"/>
  <c r="R27" i="6"/>
  <c r="S27" i="6"/>
  <c r="M28" i="6"/>
  <c r="O28" i="6" s="1"/>
  <c r="R28" i="6"/>
  <c r="S28" i="6"/>
  <c r="M29" i="6"/>
  <c r="O29" i="6"/>
  <c r="R29" i="6"/>
  <c r="S29" i="6"/>
  <c r="M30" i="6"/>
  <c r="O30" i="6"/>
  <c r="R30" i="6"/>
  <c r="S30" i="6" s="1"/>
  <c r="M31" i="6"/>
  <c r="O31" i="6" s="1"/>
  <c r="R31" i="6"/>
  <c r="S31" i="6" s="1"/>
  <c r="M32" i="6"/>
  <c r="O32" i="6" s="1"/>
  <c r="R32" i="6"/>
  <c r="S32" i="6"/>
  <c r="M33" i="6"/>
  <c r="O33" i="6" s="1"/>
  <c r="R33" i="6"/>
  <c r="S33" i="6"/>
  <c r="M34" i="6"/>
  <c r="O34" i="6"/>
  <c r="R34" i="6"/>
  <c r="S34" i="6"/>
  <c r="M35" i="6"/>
  <c r="O35" i="6"/>
  <c r="R35" i="6"/>
  <c r="S35" i="6" s="1"/>
  <c r="M36" i="6"/>
  <c r="O36" i="6" s="1"/>
  <c r="R36" i="6"/>
  <c r="S36" i="6" s="1"/>
  <c r="M37" i="6"/>
  <c r="O37" i="6" s="1"/>
  <c r="R37" i="6"/>
  <c r="S37" i="6"/>
  <c r="M38" i="6"/>
  <c r="O38" i="6" s="1"/>
  <c r="R38" i="6"/>
  <c r="S38" i="6"/>
  <c r="M39" i="6"/>
  <c r="O39" i="6"/>
  <c r="R39" i="6"/>
  <c r="S39" i="6"/>
  <c r="M40" i="6"/>
  <c r="O40" i="6"/>
  <c r="R40" i="6"/>
  <c r="S40" i="6" s="1"/>
  <c r="M41" i="6"/>
  <c r="O41" i="6" s="1"/>
  <c r="R41" i="6"/>
  <c r="S41" i="6" s="1"/>
  <c r="M42" i="6"/>
  <c r="O42" i="6" s="1"/>
  <c r="R42" i="6"/>
  <c r="S42" i="6"/>
  <c r="M43" i="6"/>
  <c r="O43" i="6" s="1"/>
  <c r="R43" i="6"/>
  <c r="S43" i="6"/>
  <c r="M44" i="6"/>
  <c r="O44" i="6"/>
  <c r="R44" i="6"/>
  <c r="S44" i="6"/>
  <c r="M45" i="6"/>
  <c r="O45" i="6"/>
  <c r="R45" i="6"/>
  <c r="S45" i="6" s="1"/>
  <c r="M46" i="6"/>
  <c r="O46" i="6" s="1"/>
  <c r="R46" i="6"/>
  <c r="S46" i="6" s="1"/>
  <c r="M47" i="6"/>
  <c r="O47" i="6" s="1"/>
  <c r="R47" i="6"/>
  <c r="S47" i="6"/>
  <c r="M48" i="6"/>
  <c r="O48" i="6" s="1"/>
  <c r="R48" i="6"/>
  <c r="S48" i="6"/>
  <c r="M49" i="6"/>
  <c r="O49" i="6"/>
  <c r="R49" i="6"/>
  <c r="S49" i="6"/>
  <c r="M50" i="6"/>
  <c r="O50" i="6"/>
  <c r="R50" i="6"/>
  <c r="S50" i="6" s="1"/>
  <c r="M51" i="6"/>
  <c r="O51" i="6" s="1"/>
  <c r="R51" i="6"/>
  <c r="S51" i="6" s="1"/>
  <c r="M52" i="6"/>
  <c r="O52" i="6" s="1"/>
  <c r="R52" i="6"/>
  <c r="S52" i="6"/>
  <c r="M53" i="6"/>
  <c r="O53" i="6" s="1"/>
  <c r="R53" i="6"/>
  <c r="S53" i="6"/>
  <c r="M54" i="6"/>
  <c r="O54" i="6"/>
  <c r="R54" i="6"/>
  <c r="S54" i="6"/>
  <c r="M55" i="6"/>
  <c r="O55" i="6"/>
  <c r="R55" i="6"/>
  <c r="S55" i="6" s="1"/>
  <c r="M56" i="6"/>
  <c r="O56" i="6" s="1"/>
  <c r="R56" i="6"/>
  <c r="S56" i="6" s="1"/>
  <c r="M57" i="6"/>
  <c r="O57" i="6" s="1"/>
  <c r="R57" i="6"/>
  <c r="S57" i="6"/>
  <c r="M58" i="6"/>
  <c r="O58" i="6" s="1"/>
  <c r="R58" i="6"/>
  <c r="S58" i="6"/>
  <c r="M59" i="6"/>
  <c r="O59" i="6"/>
  <c r="R59" i="6"/>
  <c r="S59" i="6"/>
  <c r="M60" i="6"/>
  <c r="O60" i="6"/>
  <c r="R60" i="6"/>
  <c r="S60" i="6" s="1"/>
  <c r="M61" i="6"/>
  <c r="O61" i="6" s="1"/>
  <c r="R61" i="6"/>
  <c r="S61" i="6" s="1"/>
  <c r="M62" i="6"/>
  <c r="O62" i="6" s="1"/>
  <c r="R62" i="6"/>
  <c r="S62" i="6"/>
  <c r="M63" i="6"/>
  <c r="O63" i="6" s="1"/>
  <c r="R63" i="6"/>
  <c r="S63" i="6"/>
  <c r="M64" i="6"/>
  <c r="O64" i="6"/>
  <c r="R64" i="6"/>
  <c r="S64" i="6"/>
  <c r="M65" i="6"/>
  <c r="O65" i="6"/>
  <c r="R65" i="6"/>
  <c r="S65" i="6"/>
  <c r="B3" i="5"/>
  <c r="E3" i="5"/>
  <c r="N7" i="4"/>
  <c r="J19" i="3"/>
  <c r="L19" i="3" s="1"/>
  <c r="H19" i="3"/>
  <c r="H18" i="3"/>
  <c r="J18" i="3" s="1"/>
  <c r="L18" i="3" s="1"/>
  <c r="H17" i="3"/>
  <c r="J17" i="3" s="1"/>
  <c r="L17" i="3" s="1"/>
  <c r="H16" i="3"/>
  <c r="J16" i="3" s="1"/>
  <c r="L16" i="3" s="1"/>
  <c r="J15" i="3"/>
  <c r="L15" i="3" s="1"/>
  <c r="H15" i="3"/>
  <c r="H14" i="3"/>
  <c r="J14" i="3" s="1"/>
  <c r="L14" i="3" s="1"/>
  <c r="H13" i="3"/>
  <c r="J13" i="3" s="1"/>
  <c r="L13" i="3" s="1"/>
  <c r="H12" i="3"/>
  <c r="J12" i="3" s="1"/>
  <c r="L12" i="3" s="1"/>
  <c r="H11" i="3"/>
  <c r="J11" i="3" s="1"/>
  <c r="L11" i="3" s="1"/>
  <c r="H10" i="3"/>
  <c r="J10" i="3" s="1"/>
  <c r="L10" i="3" s="1"/>
  <c r="H9" i="3"/>
  <c r="J9" i="3" s="1"/>
  <c r="L9" i="3" s="1"/>
  <c r="H8" i="3"/>
  <c r="J8" i="3" s="1"/>
  <c r="L8" i="3" s="1"/>
  <c r="H7" i="3"/>
  <c r="J7" i="3" s="1"/>
  <c r="L7" i="3" s="1"/>
  <c r="H6" i="3"/>
  <c r="J6" i="3" s="1"/>
  <c r="L6" i="3" s="1"/>
  <c r="H5" i="3"/>
  <c r="J5" i="3" s="1"/>
  <c r="L5" i="3" s="1"/>
  <c r="H4" i="3"/>
  <c r="J4" i="3" s="1"/>
  <c r="L4" i="3" s="1"/>
  <c r="H3" i="3"/>
  <c r="J3" i="3" s="1"/>
  <c r="L3" i="3" s="1"/>
  <c r="H2" i="3"/>
  <c r="J2" i="3" s="1"/>
  <c r="L2" i="3" s="1"/>
  <c r="T12" i="6" l="1"/>
  <c r="X12" i="6" s="1"/>
  <c r="T17" i="6"/>
  <c r="X17" i="6" s="1"/>
  <c r="T14" i="6"/>
  <c r="X14" i="6" s="1"/>
  <c r="T5" i="6"/>
  <c r="X5" i="6" s="1"/>
  <c r="T2" i="6"/>
  <c r="X2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tc={3461571A-8435-47F5-932C-87907A560006}</author>
    <author>tc={8FD33AC5-01BC-4A61-82BE-07CE2703C754}</author>
  </authors>
  <commentList>
    <comment ref="E1" authorId="0" shapeId="0" xr:uid="{3461571A-8435-47F5-932C-87907A560006}">
      <text>
        <t>[Threaded comment]
Your version of Excel allows you to read this threaded comment; however, any edits to it will get removed if the file is opened in a newer version of Excel. Learn more: https://go.microsoft.com/fwlink/?linkid=870924
Comment:
    Treatment is applied by adding to the 7 Liter in the tank an extra Liter of water coming from the catfish or eel holding tanks or a Liter of dechlorinaded tab water.</t>
      </text>
    </comment>
    <comment ref="M1" authorId="1" shapeId="0" xr:uid="{8FD33AC5-01BC-4A61-82BE-07CE2703C754}">
      <text>
        <t>[Threaded comment]
Your version of Excel allows you to read this threaded comment; however, any edits to it will get removed if the file is opened in a newer version of Excel. Learn more: https://go.microsoft.com/fwlink/?linkid=870924
Comment:
    Light might not have gone out for round 1 due to error with the lighting from now fixed and day is 7:00-20:00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tc={45CB3148-40EF-4344-9343-461AA05E43CC}</author>
    <author>tc={C0EBFD17-AD81-4EE8-926D-EDAB36E0953A}</author>
    <author>tc={34F7FC5B-4DB2-4F38-AF91-F4EA26347454}</author>
    <author>tc={AF3B1C6B-B9BB-4998-85B2-80F093C79DF5}</author>
    <author>tc={3C4B5090-0F86-46FC-92D0-A15B181DAADF}</author>
  </authors>
  <commentList>
    <comment ref="D1" authorId="0" shapeId="0" xr:uid="{45CB3148-40EF-4344-9343-461AA05E43CC}">
      <text>
        <t>[Threaded comment]
Your version of Excel allows you to read this threaded comment; however, any edits to it will get removed if the file is opened in a newer version of Excel. Learn more: https://go.microsoft.com/fwlink/?linkid=870924
Comment:
    Treatment is applied by adding to the 7 Liter in the tank an extra Liter of water coming from the catfish or eel holding tanks or a Liter of dechlorinaded tab water.</t>
      </text>
    </comment>
    <comment ref="K1" authorId="1" shapeId="0" xr:uid="{C0EBFD17-AD81-4EE8-926D-EDAB36E0953A}">
      <text>
        <t>[Threaded comment]
Your version of Excel allows you to read this threaded comment; however, any edits to it will get removed if the file is opened in a newer version of Excel. Learn more: https://go.microsoft.com/fwlink/?linkid=870924
Comment:
    Pellets left after this time</t>
      </text>
    </comment>
    <comment ref="L1" authorId="2" shapeId="0" xr:uid="{34F7FC5B-4DB2-4F38-AF91-F4EA26347454}">
      <text>
        <t>[Threaded comment]
Your version of Excel allows you to read this threaded comment; however, any edits to it will get removed if the file is opened in a newer version of Excel. Learn more: https://go.microsoft.com/fwlink/?linkid=870924
Comment:
    Extra food given when less than 3 pellets left. Than 5 new given</t>
      </text>
    </comment>
    <comment ref="N1" authorId="3" shapeId="0" xr:uid="{AF3B1C6B-B9BB-4998-85B2-80F093C79DF5}">
      <text>
        <t>[Threaded comment]
Your version of Excel allows you to read this threaded comment; however, any edits to it will get removed if the file is opened in a newer version of Excel. Learn more: https://go.microsoft.com/fwlink/?linkid=870924
Comment:
    Light might not have gone out for round 1 due to error with the lighting from now fixed and day is 7:00-20:00</t>
      </text>
    </comment>
    <comment ref="P1" authorId="4" shapeId="0" xr:uid="{3C4B5090-0F86-46FC-92D0-A15B181DAADF}">
      <text>
        <t>[Threaded comment]
Your version of Excel allows you to read this threaded comment; however, any edits to it will get removed if the file is opened in a newer version of Excel. Learn more: https://go.microsoft.com/fwlink/?linkid=870924
Comment:
    Extra food given when less than 3 pellets left. Than 5 new given</t>
      </text>
    </comment>
  </commentList>
</comments>
</file>

<file path=xl/sharedStrings.xml><?xml version="1.0" encoding="utf-8"?>
<sst xmlns="http://schemas.openxmlformats.org/spreadsheetml/2006/main" count="3911" uniqueCount="197">
  <si>
    <t>S</t>
  </si>
  <si>
    <t>M</t>
  </si>
  <si>
    <t>eel escaped</t>
  </si>
  <si>
    <t>static</t>
  </si>
  <si>
    <t>wall</t>
  </si>
  <si>
    <t>ref_back</t>
  </si>
  <si>
    <t>eel</t>
  </si>
  <si>
    <t>long</t>
  </si>
  <si>
    <t>NCE3</t>
  </si>
  <si>
    <t>climb</t>
  </si>
  <si>
    <t>barrier</t>
  </si>
  <si>
    <t>walk</t>
  </si>
  <si>
    <t>catfish</t>
  </si>
  <si>
    <t>control</t>
  </si>
  <si>
    <t>eel + kōura escaped found on floor</t>
  </si>
  <si>
    <t>soft</t>
  </si>
  <si>
    <t>L</t>
  </si>
  <si>
    <t>eel + kōura escaped found in gutter</t>
  </si>
  <si>
    <t>T=1110</t>
  </si>
  <si>
    <t>dark</t>
  </si>
  <si>
    <t>NCE2</t>
  </si>
  <si>
    <t>floor</t>
  </si>
  <si>
    <t>ref_next</t>
  </si>
  <si>
    <t>ref_open</t>
  </si>
  <si>
    <t>swim</t>
  </si>
  <si>
    <t>eel in kōura side t90</t>
  </si>
  <si>
    <t>light</t>
  </si>
  <si>
    <t>NCE1</t>
  </si>
  <si>
    <t>felt out at 58:00 put back in</t>
  </si>
  <si>
    <t>notes_koura</t>
  </si>
  <si>
    <t>moult_date</t>
  </si>
  <si>
    <t>antenna2</t>
  </si>
  <si>
    <t>claws2</t>
  </si>
  <si>
    <t>legs2</t>
  </si>
  <si>
    <t>weight_g2</t>
  </si>
  <si>
    <t>size_mm2</t>
  </si>
  <si>
    <t>note</t>
  </si>
  <si>
    <t>antenna1</t>
  </si>
  <si>
    <t>claws1</t>
  </si>
  <si>
    <t>legs1</t>
  </si>
  <si>
    <t>weight_g1</t>
  </si>
  <si>
    <t>size_mm1</t>
  </si>
  <si>
    <t>size_class</t>
  </si>
  <si>
    <t>sex</t>
  </si>
  <si>
    <t>hold_tank</t>
  </si>
  <si>
    <t>old_id</t>
  </si>
  <si>
    <t>koura_id</t>
  </si>
  <si>
    <t>notes_exp</t>
  </si>
  <si>
    <t>behaviour_T300</t>
  </si>
  <si>
    <t>location_T300</t>
  </si>
  <si>
    <t>behaviour_T290</t>
  </si>
  <si>
    <t>location_T290</t>
  </si>
  <si>
    <t>behaviour_T275</t>
  </si>
  <si>
    <t>location_T275</t>
  </si>
  <si>
    <t>behaviour_T260</t>
  </si>
  <si>
    <t>location_T260</t>
  </si>
  <si>
    <t>behaviour_T245</t>
  </si>
  <si>
    <t>location_T245</t>
  </si>
  <si>
    <t>behaviour_T240</t>
  </si>
  <si>
    <t>location_T240</t>
  </si>
  <si>
    <t>behaviour_T210</t>
  </si>
  <si>
    <t>location_T210</t>
  </si>
  <si>
    <t>behaviour_T180</t>
  </si>
  <si>
    <t>location_T180</t>
  </si>
  <si>
    <t>behaviour_T150</t>
  </si>
  <si>
    <t>location_T150</t>
  </si>
  <si>
    <t>behaviour_T120</t>
  </si>
  <si>
    <t>location_T120</t>
  </si>
  <si>
    <t>behaviour_T90</t>
  </si>
  <si>
    <t>location_T90</t>
  </si>
  <si>
    <t>behaviour_T80</t>
  </si>
  <si>
    <t>location_T80</t>
  </si>
  <si>
    <t>behaviour_T70</t>
  </si>
  <si>
    <t>location_T70</t>
  </si>
  <si>
    <t>behaviour_T65</t>
  </si>
  <si>
    <t>location_T65</t>
  </si>
  <si>
    <t>behaviour_T61</t>
  </si>
  <si>
    <t>location_T61</t>
  </si>
  <si>
    <t>behaviour_T60</t>
  </si>
  <si>
    <t>location_T60</t>
  </si>
  <si>
    <t>behaviour_T45</t>
  </si>
  <si>
    <t>location_T45</t>
  </si>
  <si>
    <t>behaviour_T30</t>
  </si>
  <si>
    <t>location_T30</t>
  </si>
  <si>
    <t>behaviour_T20</t>
  </si>
  <si>
    <t>location_T20</t>
  </si>
  <si>
    <t>behaviour_T10</t>
  </si>
  <si>
    <t>location_T10</t>
  </si>
  <si>
    <t>behaviour_T5</t>
  </si>
  <si>
    <t>location_T5</t>
  </si>
  <si>
    <t>behaviour_T0</t>
  </si>
  <si>
    <t>location_T0</t>
  </si>
  <si>
    <t>treatment</t>
  </si>
  <si>
    <t>date</t>
  </si>
  <si>
    <t>tank</t>
  </si>
  <si>
    <t>round</t>
  </si>
  <si>
    <t>exp_id</t>
  </si>
  <si>
    <t>experiment</t>
  </si>
  <si>
    <t>NCE1_R1_tank1-4</t>
  </si>
  <si>
    <t>$min=10008; $max=13681; Get-ChildItem -Filter "G*.JPG" | Where-Object { $_.BaseName -match '^G(\d{7})$' -and ([int]$Matches[1] -ge $min) -and ([int]$Matches[1] -le $max) } | Sort-Object Name | ForEach-Object { "file '$($_.FullName)'" } | Set-Content files.txt</t>
  </si>
  <si>
    <t>NCE1_R1_tank5-8</t>
  </si>
  <si>
    <t>$min=12509; $max=16183; Get-ChildItem -Filter "G*.JPG" | Where-Object { $_.BaseName -match '^G(\d{7})$' -and ([int]$Matches[1] -ge $min) -and ([int]$Matches[1] -le $max) } | Sort-Object Name | ForEach-Object { "file '$($_.FullName)'" } | Set-Content files.txt</t>
  </si>
  <si>
    <t>NCE1_R2_tank1-4</t>
  </si>
  <si>
    <t>$min=13682; $max=17320; Get-ChildItem -Filter "G*.JPG" | Where-Object { $_.BaseName -match '^G(\d{7})$' -and ([int]$Matches[1] -ge $min) -and ([int]$Matches[1] -le $max) } | Sort-Object Name | ForEach-Object { "file '$($_.FullName)'" } | Set-Content files.txt</t>
  </si>
  <si>
    <t>NCE1_R2_tank5-8</t>
  </si>
  <si>
    <t>$min=12504; $max=16146; Get-ChildItem -Filter "G*.JPG" | Where-Object { $_.BaseName -match '^G(\d{7})$' -and ([int]$Matches[1] -ge $min) -and ([int]$Matches[1] -le $max) } | Sort-Object Name | ForEach-Object { "file '$($_.FullName)'" } | Set-Content files.txt</t>
  </si>
  <si>
    <t>NCE1_R3_tank1-4</t>
  </si>
  <si>
    <t>$min=17321; $max=20955; Get-ChildItem -Filter "G*.JPG" | Where-Object { $_.BaseName -match '^G(\d{7})$' -and ([int]$Matches[1] -ge $min) -and ([int]$Matches[1] -le $max) } | Sort-Object Name | ForEach-Object { "file '$($_.FullName)'" } | Set-Content files.txt</t>
  </si>
  <si>
    <t>NCE1_R3_tank5-8</t>
  </si>
  <si>
    <t>$min=16147; $max=19780; Get-ChildItem -Filter "G*.JPG" | Where-Object { $_.BaseName -match '^G(\d{7})$' -and ([int]$Matches[1] -ge $min) -and ([int]$Matches[1] -le $max) } | Sort-Object Name | ForEach-Object { "file '$($_.FullName)'" } | Set-Content files.txt</t>
  </si>
  <si>
    <t>NCE1_R4_tank1-4</t>
  </si>
  <si>
    <t>$min=19781; $max=19968; Get-ChildItem -Filter "G*.JPG" | Where-Object { $_.BaseName -match '^G(\d{7})$' -and ([int]$Matches[1] -ge $min) -and ([int]$Matches[1] -le $max) } | Sort-Object Name | ForEach-Object { "file '$($_.FullName)'" } | Set-Content files.txt</t>
  </si>
  <si>
    <t>NCE1_R4_tank5-8</t>
  </si>
  <si>
    <t>$min=16184; $max=19813; Get-ChildItem -Filter "G*.JPG" | Where-Object { $_.BaseName -match '^G(\d{7})$' -and ([int]$Matches[1] -ge $min) -and ([int]$Matches[1] -le $max) } | Sort-Object Name | ForEach-Object { "file '$($_.FullName)'" } | Set-Content files.txt</t>
  </si>
  <si>
    <t>NCE2_R5_tank1-4</t>
  </si>
  <si>
    <t>$min=29814; $max=33456; Get-ChildItem -Filter "G*.JPG" | Where-Object { $_.BaseName -match '^G(\d{7})$' -and ([int]$Matches[1] -ge $min) -and ([int]$Matches[1] -le $max) } | Sort-Object Name | ForEach-Object { "file '$($_.FullName)'" } | Set-Content files.txt</t>
  </si>
  <si>
    <t>NCE2_R5_tank5-8</t>
  </si>
  <si>
    <t>$min=10956; $max=13415; Get-ChildItem -Filter "G*.JPG" | Where-Object { $_.BaseName -match '^G(\d{7})$' -and ([int]$Matches[1] -ge $min) -and ([int]$Matches[1] -le $max) } | Sort-Object Name | ForEach-Object { "file '$($_.FullName)'" } | Set-Content files.txt</t>
  </si>
  <si>
    <t>problem with the other gopro so thisone started after T90</t>
  </si>
  <si>
    <t>NCE2_R6_tank1-4</t>
  </si>
  <si>
    <t>$min=13457; $max=17074; Get-ChildItem -Filter "G*.JPG" | Where-Object { $_.BaseName -match '^G(\d{7})$' -and ([int]$Matches[1] -ge $min) -and ([int]$Matches[1] -le $max) } | Sort-Object Name | ForEach-Object { "file '$($_.FullName)'" } | Set-Content files.txt</t>
  </si>
  <si>
    <t>NCE2_R6_tank5-8</t>
  </si>
  <si>
    <t>$min=13416; $max=17036; Get-ChildItem -Filter "G*.JPG" | Where-Object { $_.BaseName -match '^G(\d{7})$' -and ([int]$Matches[1] -ge $min) -and ([int]$Matches[1] -le $max) } | Sort-Object Name | ForEach-Object { "file '$($_.FullName)'" } | Set-Content files.txt</t>
  </si>
  <si>
    <t>NCE2_R7_tank1-4</t>
  </si>
  <si>
    <t>$min=27077; $max=30697; Get-ChildItem -Filter "G*.JPG" | Where-Object { $_.BaseName -match '^G(\d{7})$' -and ([int]$Matches[1] -ge $min) -and ([int]$Matches[1] -le $max) } | Sort-Object Name | ForEach-Object { "file '$($_.FullName)'" } | Set-Content files.txt</t>
  </si>
  <si>
    <t>NCE2_R7_tank5-8</t>
  </si>
  <si>
    <t>$min=17037; $max=20659; Get-ChildItem -Filter "G*.JPG" | Where-Object { $_.BaseName -match '^G(\d{7})$' -and ([int]$Matches[1] -ge $min) -and ([int]$Matches[1] -le $max) } | Sort-Object Name | ForEach-Object { "file '$($_.FullName)'" } | Set-Content files.txt</t>
  </si>
  <si>
    <t>NCE2_R8_tank1-4</t>
  </si>
  <si>
    <t>$min=10698; $max=14310; Get-ChildItem -Filter "G*.JPG" | Where-Object { $_.BaseName -match '^G(\d{7})$' -and ([int]$Matches[1] -ge $min) -and ([int]$Matches[1] -le $max) } | Sort-Object Name | ForEach-Object { "file '$($_.FullName)'" } | Set-Content files.txt</t>
  </si>
  <si>
    <t>NCE2_R8_tank5-8</t>
  </si>
  <si>
    <t>$min=10660; $max=14273; Get-ChildItem -Filter "G*.JPG" | Where-Object { $_.BaseName -match '^G(\d{7})$' -and ([int]$Matches[1] -ge $min) -and ([int]$Matches[1] -le $max) } | Sort-Object Name | ForEach-Object { "file '$($_.FullName)'" } | Set-Content files.txt</t>
  </si>
  <si>
    <t>NCE3_R9_tank1-4</t>
  </si>
  <si>
    <t>$min=14311; $max=27762; Get-ChildItem -Filter "G*.JPG" | Where-Object { $_.BaseName -match '^G(\d{7})$' -and ([int]$Matches[1] -ge $min) -and ([int]$Matches[1] -le $max) } | Sort-Object Name | ForEach-Object { "file '$($_.FullName)'" } | Set-Content files.txt</t>
  </si>
  <si>
    <t>NCE3_R9_tank5-8</t>
  </si>
  <si>
    <t>$min=14274; $max=27708; Get-ChildItem -Filter "G*.JPG" | Where-Object { $_.BaseName -match '^G(\d{7})$' -and ([int]$Matches[1] -ge $min) -and ([int]$Matches[1] -le $max) } | Sort-Object Name | ForEach-Object { "file '$($_.FullName)'" } | Set-Content files.txt</t>
  </si>
  <si>
    <t>exp</t>
  </si>
  <si>
    <t>name_vid</t>
  </si>
  <si>
    <t>camera</t>
  </si>
  <si>
    <t>first</t>
  </si>
  <si>
    <t>end</t>
  </si>
  <si>
    <t>fotos</t>
  </si>
  <si>
    <t>interval</t>
  </si>
  <si>
    <t>time_run</t>
  </si>
  <si>
    <t>time_in</t>
  </si>
  <si>
    <t>time_fin</t>
  </si>
  <si>
    <t>make text file</t>
  </si>
  <si>
    <t>Round_1_Tank_1</t>
  </si>
  <si>
    <t>Shelter</t>
  </si>
  <si>
    <t>Round_1_Tank_2</t>
  </si>
  <si>
    <t>Round_1_Tank_3</t>
  </si>
  <si>
    <t>Round_1_Tank_4</t>
  </si>
  <si>
    <t>Round_2_Tank_1</t>
  </si>
  <si>
    <t>Round_2_Tank_2</t>
  </si>
  <si>
    <t>Round_2_Tank_3</t>
  </si>
  <si>
    <t>Round_2_Tank_4</t>
  </si>
  <si>
    <t>5+1</t>
  </si>
  <si>
    <t>feeding</t>
  </si>
  <si>
    <t>RED</t>
  </si>
  <si>
    <t>SOFT</t>
  </si>
  <si>
    <t>29/10/25</t>
  </si>
  <si>
    <t>24/10/25</t>
  </si>
  <si>
    <t>15/10/25</t>
  </si>
  <si>
    <t>F</t>
  </si>
  <si>
    <t>each tank 7 liter + 1 liter treatment water</t>
  </si>
  <si>
    <t>7+1</t>
  </si>
  <si>
    <t>Moult_date</t>
  </si>
  <si>
    <t>tot_eat_g</t>
  </si>
  <si>
    <t>residue_g</t>
  </si>
  <si>
    <t>w_tot</t>
  </si>
  <si>
    <t>w_empty_tray</t>
  </si>
  <si>
    <t>tot_fed_g</t>
  </si>
  <si>
    <t>tot_eat_p</t>
  </si>
  <si>
    <t>tot_fed2</t>
  </si>
  <si>
    <t>48h</t>
  </si>
  <si>
    <t>extra_food2</t>
  </si>
  <si>
    <t>fraction</t>
  </si>
  <si>
    <t>left_after_24h</t>
  </si>
  <si>
    <t>total_fed</t>
  </si>
  <si>
    <t>extra_food</t>
  </si>
  <si>
    <t>left_after_4h</t>
  </si>
  <si>
    <t>food_in_g</t>
  </si>
  <si>
    <t>start_food</t>
  </si>
  <si>
    <t>day_starve</t>
  </si>
  <si>
    <t>liter</t>
  </si>
  <si>
    <t>exp_tank</t>
  </si>
  <si>
    <t>avg</t>
  </si>
  <si>
    <t>weight_g</t>
  </si>
  <si>
    <t>n</t>
  </si>
  <si>
    <t>alluminium cups weight</t>
  </si>
  <si>
    <t>fresh pellets</t>
  </si>
  <si>
    <t>Feeding</t>
  </si>
  <si>
    <t>extra_koura_id</t>
  </si>
  <si>
    <t>probably error in length measurment</t>
  </si>
  <si>
    <t>size_mm</t>
  </si>
  <si>
    <t>legs</t>
  </si>
  <si>
    <t>claws</t>
  </si>
  <si>
    <t>antenna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</si>
</sst>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h:mm:ss;@"/>
    <numFmt numFmtId="166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164" fontId="0" fillId="0" borderId="0" xfId="0" applyNumberFormat="1"/>
    <xf numFmtId="0" fontId="0" fillId="2" borderId="0" xfId="0" applyFill="1"/>
    <xf numFmtId="0" fontId="1" fillId="0" borderId="0" xfId="0" applyFont="1"/>
    <xf numFmtId="0" fontId="1" fillId="0" borderId="1" xfId="0" applyFont="1" applyBorder="1"/>
    <xf numFmtId="14" fontId="0" fillId="0" borderId="0" xfId="0" applyNumberFormat="1"/>
    <xf numFmtId="165" fontId="0" fillId="0" borderId="0" xfId="0" applyNumberFormat="1"/>
    <xf numFmtId="20" fontId="0" fillId="0" borderId="0" xfId="0" applyNumberFormat="1"/>
    <xf numFmtId="0" fontId="1" fillId="2" borderId="0" xfId="0" applyFont="1" applyFill="1"/>
    <xf numFmtId="166" fontId="0" fillId="2" borderId="0" xfId="0" applyNumberFormat="1" applyFill="1"/>
    <xf numFmtId="20" fontId="0" fillId="2" borderId="0" xfId="0" applyNumberFormat="1" applyFill="1"/>
    <xf numFmtId="14" fontId="0" fillId="2" borderId="0" xfId="0" applyNumberFormat="1" applyFill="1"/>
    <xf numFmtId="0" fontId="2" fillId="0" borderId="0" xfId="0" applyFont="1"/>
    <xf numFmtId="166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ven, Olivier (Student)" id="{4724CB31-5F20-483E-A3EB-ECD5F8F6A30B}" userId="S::or81@students.waikato.ac.nz::e271f6c9-056d-4468-bbaf-9e72d555f80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5-10-07T22:37:37.41" personId="{4724CB31-5F20-483E-A3EB-ECD5F8F6A30B}" id="{3461571A-8435-47F5-932C-87907A560006}">
    <text>Treatment is applied by adding to the 7 Liter in the tank an extra Liter of water coming from the catfish or eel holding tanks or a Liter of dechlorinaded tab water.</text>
  </threadedComment>
  <threadedComment ref="M1" dT="2025-10-07T22:28:09.61" personId="{4724CB31-5F20-483E-A3EB-ECD5F8F6A30B}" id="{8FD33AC5-01BC-4A61-82BE-07CE2703C754}">
    <text>Light might not have gone out for round 1 due to error with the lighting from now fixed and day is 7:00-20:00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" dT="2025-10-07T22:37:37.41" personId="{4724CB31-5F20-483E-A3EB-ECD5F8F6A30B}" id="{45CB3148-40EF-4344-9343-461AA05E43CC}">
    <text>Treatment is applied by adding to the 7 Liter in the tank an extra Liter of water coming from the catfish or eel holding tanks or a Liter of dechlorinaded tab water.</text>
  </threadedComment>
  <threadedComment ref="K1" dT="2025-10-07T22:21:57.50" personId="{4724CB31-5F20-483E-A3EB-ECD5F8F6A30B}" id="{C0EBFD17-AD81-4EE8-926D-EDAB36E0953A}">
    <text>Pellets left after this time</text>
  </threadedComment>
  <threadedComment ref="L1" dT="2025-10-07T22:32:08.27" personId="{4724CB31-5F20-483E-A3EB-ECD5F8F6A30B}" id="{34F7FC5B-4DB2-4F38-AF91-F4EA26347454}">
    <text>Extra food given when less than 3 pellets left. Than 5 new given</text>
  </threadedComment>
  <threadedComment ref="N1" dT="2025-10-07T22:28:09.61" personId="{4724CB31-5F20-483E-A3EB-ECD5F8F6A30B}" id="{AF3B1C6B-B9BB-4998-85B2-80F093C79DF5}">
    <text>Light might not have gone out for round 1 due to error with the lighting from now fixed and day is 7:00-20:00</text>
  </threadedComment>
  <threadedComment ref="P1" dT="2025-10-07T22:32:08.27" personId="{4724CB31-5F20-483E-A3EB-ECD5F8F6A30B}" id="{3C4B5090-0F86-46FC-92D0-A15B181DAADF}">
    <text>Extra food given when less than 3 pellets left. Than 5 new given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6400D-0C90-4A8A-9A9D-ADEEFBB0CA10}">
  <dimension ref="A1:BS65"/>
  <sheetViews>
    <sheetView tabSelected="1" zoomScale="70" zoomScaleNormal="70" workbookViewId="0">
      <pane xSplit="7" ySplit="1" topLeftCell="H11" activePane="bottomRight" state="frozen"/>
      <selection pane="topRight" activeCell="G1" sqref="G1"/>
      <selection pane="bottomLeft" activeCell="A3" sqref="A3"/>
      <selection pane="bottomRight" activeCell="BA63" sqref="BA63:BK63"/>
    </sheetView>
  </sheetViews>
  <sheetFormatPr defaultRowHeight="14.4" x14ac:dyDescent="0.55000000000000004"/>
  <cols>
    <col min="1" max="1" width="12.26171875" bestFit="1" customWidth="1"/>
    <col min="2" max="2" width="8.62890625" bestFit="1" customWidth="1"/>
    <col min="3" max="3" width="7.83984375" bestFit="1" customWidth="1"/>
    <col min="4" max="4" width="6.578125" bestFit="1" customWidth="1"/>
    <col min="5" max="5" width="9.83984375" bestFit="1" customWidth="1"/>
    <col min="6" max="6" width="7.83984375" customWidth="1"/>
    <col min="7" max="7" width="11.15625" style="1" bestFit="1" customWidth="1"/>
    <col min="8" max="8" width="12.26171875" hidden="1" customWidth="1"/>
    <col min="9" max="9" width="14" hidden="1" customWidth="1"/>
    <col min="10" max="10" width="12.26171875" hidden="1" customWidth="1"/>
    <col min="11" max="11" width="14" hidden="1" customWidth="1"/>
    <col min="12" max="12" width="12.41796875" hidden="1" customWidth="1"/>
    <col min="13" max="13" width="14.15625" hidden="1" customWidth="1"/>
    <col min="14" max="14" width="13.26171875" hidden="1" customWidth="1"/>
    <col min="15" max="15" width="15.15625" hidden="1" customWidth="1"/>
    <col min="16" max="16" width="13.26171875" hidden="1" customWidth="1"/>
    <col min="17" max="17" width="15.15625" hidden="1" customWidth="1"/>
    <col min="18" max="18" width="13.26171875" hidden="1" customWidth="1"/>
    <col min="19" max="19" width="15.15625" hidden="1" customWidth="1"/>
    <col min="20" max="20" width="13.26171875" hidden="1" customWidth="1"/>
    <col min="21" max="21" width="15.15625" hidden="1" customWidth="1"/>
    <col min="22" max="22" width="13.26171875" hidden="1" customWidth="1"/>
    <col min="23" max="23" width="15.15625" hidden="1" customWidth="1"/>
    <col min="24" max="24" width="13.26171875" hidden="1" customWidth="1"/>
    <col min="25" max="25" width="15.15625" hidden="1" customWidth="1"/>
    <col min="26" max="26" width="13.26171875" hidden="1" customWidth="1"/>
    <col min="27" max="27" width="15.15625" hidden="1" customWidth="1"/>
    <col min="28" max="28" width="13.26171875" hidden="1" customWidth="1"/>
    <col min="29" max="29" width="15.15625" hidden="1" customWidth="1"/>
    <col min="30" max="30" width="13.26171875" hidden="1" customWidth="1"/>
    <col min="31" max="31" width="15.15625" hidden="1" customWidth="1"/>
    <col min="32" max="32" width="14.26171875" hidden="1" customWidth="1"/>
    <col min="33" max="33" width="16.15625" hidden="1" customWidth="1"/>
    <col min="34" max="34" width="14.26171875" hidden="1" customWidth="1"/>
    <col min="35" max="35" width="16.15625" hidden="1" customWidth="1"/>
    <col min="36" max="36" width="14.26171875" hidden="1" customWidth="1"/>
    <col min="37" max="37" width="16.15625" hidden="1" customWidth="1"/>
    <col min="38" max="38" width="14.26171875" hidden="1" customWidth="1"/>
    <col min="39" max="39" width="16.15625" hidden="1" customWidth="1"/>
    <col min="40" max="40" width="14.26171875" hidden="1" customWidth="1"/>
    <col min="41" max="41" width="16.15625" hidden="1" customWidth="1"/>
    <col min="42" max="42" width="14.26171875" hidden="1" customWidth="1"/>
    <col min="43" max="43" width="16.15625" hidden="1" customWidth="1"/>
    <col min="44" max="44" width="14.26171875" hidden="1" customWidth="1"/>
    <col min="45" max="45" width="16.15625" hidden="1" customWidth="1"/>
    <col min="46" max="46" width="13.41796875" hidden="1" customWidth="1"/>
    <col min="47" max="47" width="15.15625" hidden="1" customWidth="1"/>
    <col min="48" max="48" width="14.26171875" hidden="1" customWidth="1"/>
    <col min="49" max="49" width="16.15625" hidden="1" customWidth="1"/>
    <col min="50" max="50" width="14.26171875" hidden="1" customWidth="1"/>
    <col min="51" max="51" width="16.15625" hidden="1" customWidth="1"/>
    <col min="53" max="53" width="9.734375" bestFit="1" customWidth="1"/>
    <col min="54" max="54" width="9.734375" customWidth="1"/>
    <col min="55" max="55" width="7.7890625" customWidth="1"/>
    <col min="56" max="56" width="10.7890625" bestFit="1" customWidth="1"/>
    <col min="57" max="57" width="5.62890625" bestFit="1" customWidth="1"/>
    <col min="58" max="58" width="11.05078125" bestFit="1" customWidth="1"/>
    <col min="59" max="59" width="11" bestFit="1" customWidth="1"/>
    <col min="60" max="60" width="10.89453125" bestFit="1" customWidth="1"/>
    <col min="61" max="61" width="7.20703125" bestFit="1" customWidth="1"/>
    <col min="62" max="62" width="8.5234375" bestFit="1" customWidth="1"/>
    <col min="63" max="63" width="10.41796875" bestFit="1" customWidth="1"/>
    <col min="70" max="70" width="14.15625" bestFit="1" customWidth="1"/>
  </cols>
  <sheetData>
    <row r="1" spans="1:71" s="4" customFormat="1" x14ac:dyDescent="0.55000000000000004">
      <c r="A1" s="4" t="s">
        <v>97</v>
      </c>
      <c r="B1" s="4" t="s">
        <v>96</v>
      </c>
      <c r="C1" s="4" t="s">
        <v>95</v>
      </c>
      <c r="D1" s="4" t="s">
        <v>94</v>
      </c>
      <c r="E1" s="4" t="s">
        <v>93</v>
      </c>
      <c r="F1" s="4" t="s">
        <v>26</v>
      </c>
      <c r="G1" s="4" t="s">
        <v>92</v>
      </c>
      <c r="H1" s="4" t="s">
        <v>91</v>
      </c>
      <c r="I1" s="5" t="s">
        <v>90</v>
      </c>
      <c r="J1" s="4" t="s">
        <v>89</v>
      </c>
      <c r="K1" s="5" t="s">
        <v>88</v>
      </c>
      <c r="L1" s="4" t="s">
        <v>87</v>
      </c>
      <c r="M1" s="5" t="s">
        <v>86</v>
      </c>
      <c r="N1" s="4" t="s">
        <v>85</v>
      </c>
      <c r="O1" s="5" t="s">
        <v>84</v>
      </c>
      <c r="P1" s="4" t="s">
        <v>83</v>
      </c>
      <c r="Q1" s="5" t="s">
        <v>82</v>
      </c>
      <c r="R1" s="4" t="s">
        <v>81</v>
      </c>
      <c r="S1" s="5" t="s">
        <v>80</v>
      </c>
      <c r="T1" s="4" t="s">
        <v>79</v>
      </c>
      <c r="U1" s="5" t="s">
        <v>78</v>
      </c>
      <c r="V1" s="4" t="s">
        <v>77</v>
      </c>
      <c r="W1" s="5" t="s">
        <v>76</v>
      </c>
      <c r="X1" s="4" t="s">
        <v>75</v>
      </c>
      <c r="Y1" s="5" t="s">
        <v>74</v>
      </c>
      <c r="Z1" s="4" t="s">
        <v>73</v>
      </c>
      <c r="AA1" s="5" t="s">
        <v>72</v>
      </c>
      <c r="AB1" s="4" t="s">
        <v>71</v>
      </c>
      <c r="AC1" s="5" t="s">
        <v>70</v>
      </c>
      <c r="AD1" s="4" t="s">
        <v>69</v>
      </c>
      <c r="AE1" s="5" t="s">
        <v>68</v>
      </c>
      <c r="AF1" s="4" t="s">
        <v>67</v>
      </c>
      <c r="AG1" s="5" t="s">
        <v>66</v>
      </c>
      <c r="AH1" s="4" t="s">
        <v>65</v>
      </c>
      <c r="AI1" s="5" t="s">
        <v>64</v>
      </c>
      <c r="AJ1" s="4" t="s">
        <v>63</v>
      </c>
      <c r="AK1" s="5" t="s">
        <v>62</v>
      </c>
      <c r="AL1" s="4" t="s">
        <v>61</v>
      </c>
      <c r="AM1" s="5" t="s">
        <v>60</v>
      </c>
      <c r="AN1" s="4" t="s">
        <v>59</v>
      </c>
      <c r="AO1" s="5" t="s">
        <v>58</v>
      </c>
      <c r="AP1" s="4" t="s">
        <v>57</v>
      </c>
      <c r="AQ1" s="5" t="s">
        <v>56</v>
      </c>
      <c r="AR1" s="4" t="s">
        <v>55</v>
      </c>
      <c r="AS1" s="5" t="s">
        <v>54</v>
      </c>
      <c r="AT1" s="4" t="s">
        <v>53</v>
      </c>
      <c r="AU1" s="5" t="s">
        <v>52</v>
      </c>
      <c r="AV1" s="4" t="s">
        <v>51</v>
      </c>
      <c r="AW1" s="5" t="s">
        <v>50</v>
      </c>
      <c r="AX1" s="4" t="s">
        <v>49</v>
      </c>
      <c r="AY1" s="5" t="s">
        <v>48</v>
      </c>
      <c r="AZ1" s="4" t="s">
        <v>47</v>
      </c>
      <c r="BA1" s="4" t="s">
        <v>46</v>
      </c>
      <c r="BB1" s="4" t="s">
        <v>191</v>
      </c>
      <c r="BC1" s="4" t="s">
        <v>45</v>
      </c>
      <c r="BD1" s="4" t="s">
        <v>44</v>
      </c>
      <c r="BE1" s="4" t="s">
        <v>43</v>
      </c>
      <c r="BF1" s="4" t="s">
        <v>42</v>
      </c>
      <c r="BG1" s="4" t="s">
        <v>41</v>
      </c>
      <c r="BH1" s="4" t="s">
        <v>40</v>
      </c>
      <c r="BI1" s="4" t="s">
        <v>39</v>
      </c>
      <c r="BJ1" s="4" t="s">
        <v>38</v>
      </c>
      <c r="BK1" s="4" t="s">
        <v>37</v>
      </c>
      <c r="BL1" s="4" t="s">
        <v>36</v>
      </c>
      <c r="BM1" s="4" t="s">
        <v>35</v>
      </c>
      <c r="BN1" s="4" t="s">
        <v>34</v>
      </c>
      <c r="BO1" s="4" t="s">
        <v>33</v>
      </c>
      <c r="BP1" s="4" t="s">
        <v>32</v>
      </c>
      <c r="BQ1" s="4" t="s">
        <v>31</v>
      </c>
      <c r="BR1" s="4" t="s">
        <v>30</v>
      </c>
      <c r="BS1" s="4" t="s">
        <v>29</v>
      </c>
    </row>
    <row r="2" spans="1:71" s="15" customFormat="1" x14ac:dyDescent="0.55000000000000004">
      <c r="A2" t="s">
        <v>27</v>
      </c>
      <c r="B2">
        <v>1</v>
      </c>
      <c r="C2">
        <v>1</v>
      </c>
      <c r="D2">
        <v>1</v>
      </c>
      <c r="E2" s="2">
        <v>45931</v>
      </c>
      <c r="F2" t="s">
        <v>26</v>
      </c>
      <c r="G2" t="s">
        <v>12</v>
      </c>
      <c r="H2" s="15" t="s">
        <v>21</v>
      </c>
      <c r="I2" s="16" t="s">
        <v>3</v>
      </c>
      <c r="J2" s="15" t="s">
        <v>5</v>
      </c>
      <c r="K2" s="16" t="s">
        <v>3</v>
      </c>
      <c r="L2" s="15" t="s">
        <v>5</v>
      </c>
      <c r="M2" s="16" t="s">
        <v>3</v>
      </c>
      <c r="N2" s="15" t="s">
        <v>5</v>
      </c>
      <c r="O2" s="16" t="s">
        <v>3</v>
      </c>
      <c r="P2" s="15" t="s">
        <v>5</v>
      </c>
      <c r="Q2" s="16" t="s">
        <v>3</v>
      </c>
      <c r="R2" s="15" t="s">
        <v>5</v>
      </c>
      <c r="S2" s="16" t="s">
        <v>3</v>
      </c>
      <c r="T2" s="15" t="s">
        <v>5</v>
      </c>
      <c r="U2" s="16" t="s">
        <v>3</v>
      </c>
      <c r="V2" s="15" t="s">
        <v>5</v>
      </c>
      <c r="W2" s="16" t="s">
        <v>3</v>
      </c>
      <c r="X2" s="15" t="s">
        <v>5</v>
      </c>
      <c r="Y2" s="16" t="s">
        <v>3</v>
      </c>
      <c r="Z2" s="15" t="s">
        <v>5</v>
      </c>
      <c r="AA2" s="16" t="s">
        <v>3</v>
      </c>
      <c r="AB2" s="15" t="s">
        <v>5</v>
      </c>
      <c r="AC2" s="16" t="s">
        <v>3</v>
      </c>
      <c r="AD2" s="15" t="s">
        <v>5</v>
      </c>
      <c r="AE2" s="16" t="s">
        <v>3</v>
      </c>
      <c r="AF2" s="15" t="s">
        <v>5</v>
      </c>
      <c r="AG2" s="16" t="s">
        <v>3</v>
      </c>
      <c r="AH2" s="15" t="s">
        <v>5</v>
      </c>
      <c r="AI2" s="16" t="s">
        <v>3</v>
      </c>
      <c r="AJ2" s="15" t="s">
        <v>5</v>
      </c>
      <c r="AK2" s="16" t="s">
        <v>3</v>
      </c>
      <c r="AL2" s="15" t="s">
        <v>5</v>
      </c>
      <c r="AM2" s="16" t="s">
        <v>3</v>
      </c>
      <c r="AN2" s="15" t="s">
        <v>5</v>
      </c>
      <c r="AO2" s="16" t="s">
        <v>3</v>
      </c>
      <c r="AP2" s="15" t="s">
        <v>5</v>
      </c>
      <c r="AQ2" s="16" t="s">
        <v>3</v>
      </c>
      <c r="AR2" s="15" t="s">
        <v>5</v>
      </c>
      <c r="AS2" s="16" t="s">
        <v>3</v>
      </c>
      <c r="AT2" s="15" t="s">
        <v>5</v>
      </c>
      <c r="AU2" s="16" t="s">
        <v>3</v>
      </c>
      <c r="AV2" s="15" t="s">
        <v>5</v>
      </c>
      <c r="AW2" s="16" t="s">
        <v>3</v>
      </c>
      <c r="AX2" s="15" t="s">
        <v>5</v>
      </c>
      <c r="AY2" s="16" t="s">
        <v>3</v>
      </c>
      <c r="BA2">
        <v>41</v>
      </c>
      <c r="BB2">
        <v>41</v>
      </c>
      <c r="BC2">
        <v>2</v>
      </c>
      <c r="BD2">
        <v>1</v>
      </c>
      <c r="BE2" t="s">
        <v>1</v>
      </c>
      <c r="BF2" t="s">
        <v>1</v>
      </c>
      <c r="BG2">
        <v>27.25</v>
      </c>
      <c r="BH2">
        <v>14</v>
      </c>
      <c r="BI2">
        <v>8</v>
      </c>
      <c r="BJ2">
        <v>2</v>
      </c>
      <c r="BK2"/>
      <c r="BR2" s="2"/>
    </row>
    <row r="3" spans="1:71" x14ac:dyDescent="0.55000000000000004">
      <c r="A3" t="s">
        <v>27</v>
      </c>
      <c r="B3">
        <v>2</v>
      </c>
      <c r="C3">
        <v>1</v>
      </c>
      <c r="D3">
        <v>2</v>
      </c>
      <c r="E3" s="2">
        <v>45931</v>
      </c>
      <c r="F3" t="s">
        <v>26</v>
      </c>
      <c r="G3" t="s">
        <v>6</v>
      </c>
      <c r="H3" t="s">
        <v>21</v>
      </c>
      <c r="I3" s="1" t="s">
        <v>3</v>
      </c>
      <c r="J3" t="s">
        <v>4</v>
      </c>
      <c r="K3" s="1" t="s">
        <v>3</v>
      </c>
      <c r="L3" t="s">
        <v>4</v>
      </c>
      <c r="M3" s="1" t="s">
        <v>3</v>
      </c>
      <c r="N3" t="s">
        <v>4</v>
      </c>
      <c r="O3" s="1" t="s">
        <v>3</v>
      </c>
      <c r="P3" t="s">
        <v>10</v>
      </c>
      <c r="Q3" s="1" t="s">
        <v>3</v>
      </c>
      <c r="R3" t="s">
        <v>10</v>
      </c>
      <c r="S3" s="1" t="s">
        <v>3</v>
      </c>
      <c r="T3" t="s">
        <v>5</v>
      </c>
      <c r="U3" s="1" t="s">
        <v>3</v>
      </c>
      <c r="V3" t="s">
        <v>5</v>
      </c>
      <c r="W3" s="1" t="s">
        <v>3</v>
      </c>
      <c r="X3" t="s">
        <v>5</v>
      </c>
      <c r="Y3" s="1" t="s">
        <v>3</v>
      </c>
      <c r="Z3" t="s">
        <v>5</v>
      </c>
      <c r="AA3" s="1" t="s">
        <v>3</v>
      </c>
      <c r="AB3" t="s">
        <v>5</v>
      </c>
      <c r="AC3" s="1" t="s">
        <v>3</v>
      </c>
      <c r="AD3" t="s">
        <v>5</v>
      </c>
      <c r="AE3" s="1" t="s">
        <v>3</v>
      </c>
      <c r="AF3" t="s">
        <v>5</v>
      </c>
      <c r="AG3" s="1" t="s">
        <v>3</v>
      </c>
      <c r="AH3" t="s">
        <v>5</v>
      </c>
      <c r="AI3" s="1" t="s">
        <v>3</v>
      </c>
      <c r="AJ3" t="s">
        <v>5</v>
      </c>
      <c r="AK3" s="1" t="s">
        <v>3</v>
      </c>
      <c r="AL3" t="s">
        <v>5</v>
      </c>
      <c r="AM3" s="1" t="s">
        <v>3</v>
      </c>
      <c r="AN3" t="s">
        <v>5</v>
      </c>
      <c r="AO3" s="1" t="s">
        <v>3</v>
      </c>
      <c r="AP3" t="s">
        <v>5</v>
      </c>
      <c r="AQ3" s="1" t="s">
        <v>3</v>
      </c>
      <c r="AR3" t="s">
        <v>5</v>
      </c>
      <c r="AS3" s="1" t="s">
        <v>3</v>
      </c>
      <c r="AT3" t="s">
        <v>5</v>
      </c>
      <c r="AU3" s="1" t="s">
        <v>3</v>
      </c>
      <c r="AV3" t="s">
        <v>5</v>
      </c>
      <c r="AW3" s="1" t="s">
        <v>3</v>
      </c>
      <c r="AX3" t="s">
        <v>5</v>
      </c>
      <c r="AY3" s="1" t="s">
        <v>3</v>
      </c>
      <c r="BA3">
        <v>42</v>
      </c>
      <c r="BB3">
        <v>42</v>
      </c>
      <c r="BC3">
        <v>3</v>
      </c>
      <c r="BD3">
        <v>2</v>
      </c>
      <c r="BE3" t="s">
        <v>1</v>
      </c>
      <c r="BF3" t="s">
        <v>1</v>
      </c>
      <c r="BG3">
        <v>25.97</v>
      </c>
      <c r="BH3">
        <v>11</v>
      </c>
      <c r="BI3">
        <v>8</v>
      </c>
      <c r="BJ3">
        <v>2</v>
      </c>
      <c r="BR3" s="2"/>
    </row>
    <row r="4" spans="1:71" x14ac:dyDescent="0.55000000000000004">
      <c r="A4" t="s">
        <v>27</v>
      </c>
      <c r="B4">
        <v>3</v>
      </c>
      <c r="C4">
        <v>1</v>
      </c>
      <c r="D4">
        <v>3</v>
      </c>
      <c r="E4" s="2">
        <v>45931</v>
      </c>
      <c r="F4" t="s">
        <v>26</v>
      </c>
      <c r="G4" t="s">
        <v>13</v>
      </c>
      <c r="H4" t="s">
        <v>10</v>
      </c>
      <c r="I4" s="1" t="s">
        <v>11</v>
      </c>
      <c r="J4" t="s">
        <v>4</v>
      </c>
      <c r="K4" s="1" t="s">
        <v>3</v>
      </c>
      <c r="L4" t="s">
        <v>4</v>
      </c>
      <c r="M4" s="1" t="s">
        <v>3</v>
      </c>
      <c r="N4" t="s">
        <v>10</v>
      </c>
      <c r="O4" s="1" t="s">
        <v>3</v>
      </c>
      <c r="P4" t="s">
        <v>10</v>
      </c>
      <c r="Q4" s="1" t="s">
        <v>11</v>
      </c>
      <c r="R4" t="s">
        <v>4</v>
      </c>
      <c r="S4" s="1" t="s">
        <v>11</v>
      </c>
      <c r="T4" t="s">
        <v>10</v>
      </c>
      <c r="U4" s="1" t="s">
        <v>3</v>
      </c>
      <c r="V4" t="s">
        <v>10</v>
      </c>
      <c r="W4" s="1" t="s">
        <v>3</v>
      </c>
      <c r="X4" t="s">
        <v>10</v>
      </c>
      <c r="Y4" s="1" t="s">
        <v>3</v>
      </c>
      <c r="Z4" t="s">
        <v>10</v>
      </c>
      <c r="AA4" s="1" t="s">
        <v>3</v>
      </c>
      <c r="AB4" t="s">
        <v>10</v>
      </c>
      <c r="AC4" s="1" t="s">
        <v>9</v>
      </c>
      <c r="AD4" t="s">
        <v>4</v>
      </c>
      <c r="AE4" s="1" t="s">
        <v>3</v>
      </c>
      <c r="AF4" t="s">
        <v>22</v>
      </c>
      <c r="AG4" s="1" t="s">
        <v>3</v>
      </c>
      <c r="AH4" t="s">
        <v>5</v>
      </c>
      <c r="AI4" s="1" t="s">
        <v>3</v>
      </c>
      <c r="AJ4" t="s">
        <v>5</v>
      </c>
      <c r="AK4" s="1" t="s">
        <v>3</v>
      </c>
      <c r="AL4" t="s">
        <v>5</v>
      </c>
      <c r="AM4" s="1" t="s">
        <v>3</v>
      </c>
      <c r="AN4" t="s">
        <v>5</v>
      </c>
      <c r="AO4" s="1" t="s">
        <v>3</v>
      </c>
      <c r="AP4" t="s">
        <v>5</v>
      </c>
      <c r="AQ4" s="1" t="s">
        <v>3</v>
      </c>
      <c r="AR4" t="s">
        <v>5</v>
      </c>
      <c r="AS4" s="1" t="s">
        <v>3</v>
      </c>
      <c r="AT4" t="s">
        <v>5</v>
      </c>
      <c r="AU4" s="1" t="s">
        <v>3</v>
      </c>
      <c r="AV4" t="s">
        <v>5</v>
      </c>
      <c r="AW4" s="1" t="s">
        <v>3</v>
      </c>
      <c r="AX4" t="s">
        <v>5</v>
      </c>
      <c r="AY4" s="1" t="s">
        <v>3</v>
      </c>
      <c r="BA4">
        <v>43</v>
      </c>
      <c r="BB4">
        <v>43</v>
      </c>
      <c r="BC4">
        <v>5</v>
      </c>
      <c r="BD4">
        <v>3</v>
      </c>
      <c r="BE4" t="s">
        <v>1</v>
      </c>
      <c r="BF4" t="s">
        <v>1</v>
      </c>
      <c r="BG4">
        <v>23.71</v>
      </c>
      <c r="BH4">
        <v>9</v>
      </c>
      <c r="BI4">
        <v>8</v>
      </c>
      <c r="BJ4">
        <v>2</v>
      </c>
      <c r="BR4" s="2"/>
    </row>
    <row r="5" spans="1:71" x14ac:dyDescent="0.55000000000000004">
      <c r="A5" t="s">
        <v>27</v>
      </c>
      <c r="B5">
        <v>4</v>
      </c>
      <c r="C5">
        <v>1</v>
      </c>
      <c r="D5">
        <v>4</v>
      </c>
      <c r="E5" s="2">
        <v>45931</v>
      </c>
      <c r="F5" t="s">
        <v>26</v>
      </c>
      <c r="G5" t="s">
        <v>12</v>
      </c>
      <c r="H5" t="s">
        <v>23</v>
      </c>
      <c r="I5" s="1" t="s">
        <v>3</v>
      </c>
      <c r="J5" t="s">
        <v>5</v>
      </c>
      <c r="K5" s="1" t="s">
        <v>3</v>
      </c>
      <c r="L5" t="s">
        <v>5</v>
      </c>
      <c r="M5" s="1" t="s">
        <v>3</v>
      </c>
      <c r="N5" t="s">
        <v>5</v>
      </c>
      <c r="O5" s="1" t="s">
        <v>3</v>
      </c>
      <c r="P5" t="s">
        <v>5</v>
      </c>
      <c r="Q5" s="1" t="s">
        <v>3</v>
      </c>
      <c r="R5" t="s">
        <v>5</v>
      </c>
      <c r="S5" s="1" t="s">
        <v>3</v>
      </c>
      <c r="T5" t="s">
        <v>5</v>
      </c>
      <c r="U5" s="1" t="s">
        <v>3</v>
      </c>
      <c r="V5" t="s">
        <v>5</v>
      </c>
      <c r="W5" s="1" t="s">
        <v>3</v>
      </c>
      <c r="X5" t="s">
        <v>5</v>
      </c>
      <c r="Y5" s="1" t="s">
        <v>3</v>
      </c>
      <c r="Z5" t="s">
        <v>5</v>
      </c>
      <c r="AA5" s="1" t="s">
        <v>3</v>
      </c>
      <c r="AB5" t="s">
        <v>5</v>
      </c>
      <c r="AC5" s="1" t="s">
        <v>3</v>
      </c>
      <c r="AD5" t="s">
        <v>5</v>
      </c>
      <c r="AE5" s="1" t="s">
        <v>3</v>
      </c>
      <c r="AF5" t="s">
        <v>22</v>
      </c>
      <c r="AG5" s="1" t="s">
        <v>3</v>
      </c>
      <c r="AH5" t="s">
        <v>5</v>
      </c>
      <c r="AI5" s="1" t="s">
        <v>3</v>
      </c>
      <c r="AJ5" t="s">
        <v>5</v>
      </c>
      <c r="AK5" s="1" t="s">
        <v>3</v>
      </c>
      <c r="AL5" t="s">
        <v>5</v>
      </c>
      <c r="AM5" s="1" t="s">
        <v>3</v>
      </c>
      <c r="AN5" t="s">
        <v>5</v>
      </c>
      <c r="AO5" s="1" t="s">
        <v>3</v>
      </c>
      <c r="AP5" t="s">
        <v>5</v>
      </c>
      <c r="AQ5" s="1" t="s">
        <v>3</v>
      </c>
      <c r="AR5" t="s">
        <v>5</v>
      </c>
      <c r="AS5" s="1" t="s">
        <v>3</v>
      </c>
      <c r="AT5" t="s">
        <v>5</v>
      </c>
      <c r="AU5" s="1" t="s">
        <v>3</v>
      </c>
      <c r="AV5" t="s">
        <v>5</v>
      </c>
      <c r="AW5" s="1" t="s">
        <v>3</v>
      </c>
      <c r="AX5" t="s">
        <v>5</v>
      </c>
      <c r="AY5" s="1" t="s">
        <v>3</v>
      </c>
      <c r="BA5">
        <v>44</v>
      </c>
      <c r="BB5">
        <v>44</v>
      </c>
      <c r="BC5">
        <v>9</v>
      </c>
      <c r="BD5">
        <v>4</v>
      </c>
      <c r="BE5" t="s">
        <v>1</v>
      </c>
      <c r="BF5" t="s">
        <v>1</v>
      </c>
      <c r="BG5">
        <v>24.7</v>
      </c>
      <c r="BH5">
        <v>10</v>
      </c>
      <c r="BI5">
        <v>7</v>
      </c>
      <c r="BJ5">
        <v>2</v>
      </c>
      <c r="BR5" s="2"/>
    </row>
    <row r="6" spans="1:71" x14ac:dyDescent="0.55000000000000004">
      <c r="A6" t="s">
        <v>27</v>
      </c>
      <c r="B6">
        <v>5</v>
      </c>
      <c r="C6">
        <v>1</v>
      </c>
      <c r="D6">
        <v>5</v>
      </c>
      <c r="E6" s="2">
        <v>45931</v>
      </c>
      <c r="F6" t="s">
        <v>26</v>
      </c>
      <c r="G6" t="s">
        <v>6</v>
      </c>
      <c r="H6" t="s">
        <v>10</v>
      </c>
      <c r="I6" s="1" t="s">
        <v>3</v>
      </c>
      <c r="J6" t="s">
        <v>4</v>
      </c>
      <c r="K6" s="1" t="s">
        <v>11</v>
      </c>
      <c r="L6" t="s">
        <v>4</v>
      </c>
      <c r="M6" s="1" t="s">
        <v>11</v>
      </c>
      <c r="N6" t="s">
        <v>4</v>
      </c>
      <c r="O6" s="1" t="s">
        <v>11</v>
      </c>
      <c r="P6" t="s">
        <v>10</v>
      </c>
      <c r="Q6" s="1" t="s">
        <v>9</v>
      </c>
      <c r="R6" t="s">
        <v>4</v>
      </c>
      <c r="S6" s="1" t="s">
        <v>11</v>
      </c>
      <c r="T6" t="s">
        <v>4</v>
      </c>
      <c r="U6" s="1" t="s">
        <v>3</v>
      </c>
      <c r="V6" t="s">
        <v>21</v>
      </c>
      <c r="W6" s="1" t="s">
        <v>11</v>
      </c>
      <c r="X6" t="s">
        <v>4</v>
      </c>
      <c r="Y6" s="1" t="s">
        <v>3</v>
      </c>
      <c r="Z6" t="s">
        <v>22</v>
      </c>
      <c r="AA6" s="1" t="s">
        <v>3</v>
      </c>
      <c r="AB6" t="s">
        <v>10</v>
      </c>
      <c r="AC6" s="1" t="s">
        <v>3</v>
      </c>
      <c r="AD6" t="s">
        <v>10</v>
      </c>
      <c r="AE6" s="1" t="s">
        <v>9</v>
      </c>
      <c r="AF6" t="s">
        <v>10</v>
      </c>
      <c r="AG6" s="1" t="s">
        <v>9</v>
      </c>
      <c r="AH6" t="s">
        <v>10</v>
      </c>
      <c r="AI6" s="1" t="s">
        <v>9</v>
      </c>
      <c r="AJ6" t="s">
        <v>10</v>
      </c>
      <c r="AK6" s="1" t="s">
        <v>9</v>
      </c>
      <c r="AL6" t="s">
        <v>10</v>
      </c>
      <c r="AM6" s="1" t="s">
        <v>9</v>
      </c>
      <c r="AN6" t="s">
        <v>10</v>
      </c>
      <c r="AO6" s="1" t="s">
        <v>9</v>
      </c>
      <c r="AP6" t="s">
        <v>10</v>
      </c>
      <c r="AQ6" s="1" t="s">
        <v>11</v>
      </c>
      <c r="AR6" t="s">
        <v>10</v>
      </c>
      <c r="AS6" s="1" t="s">
        <v>9</v>
      </c>
      <c r="AT6" t="s">
        <v>10</v>
      </c>
      <c r="AU6" s="1" t="s">
        <v>9</v>
      </c>
      <c r="AV6" t="s">
        <v>10</v>
      </c>
      <c r="AW6" s="1" t="s">
        <v>9</v>
      </c>
      <c r="AX6" t="s">
        <v>10</v>
      </c>
      <c r="AY6" s="1" t="s">
        <v>9</v>
      </c>
      <c r="BA6">
        <v>45</v>
      </c>
      <c r="BB6">
        <v>45</v>
      </c>
      <c r="BC6">
        <v>11</v>
      </c>
      <c r="BD6">
        <v>5</v>
      </c>
      <c r="BE6" t="s">
        <v>1</v>
      </c>
      <c r="BF6" t="s">
        <v>1</v>
      </c>
      <c r="BG6">
        <v>29.49</v>
      </c>
      <c r="BH6">
        <v>17</v>
      </c>
      <c r="BI6">
        <v>8</v>
      </c>
      <c r="BJ6">
        <v>2</v>
      </c>
      <c r="BR6" s="2"/>
    </row>
    <row r="7" spans="1:71" x14ac:dyDescent="0.55000000000000004">
      <c r="A7" t="s">
        <v>27</v>
      </c>
      <c r="B7">
        <v>6</v>
      </c>
      <c r="C7">
        <v>1</v>
      </c>
      <c r="D7">
        <v>6</v>
      </c>
      <c r="E7" s="2">
        <v>45931</v>
      </c>
      <c r="F7" t="s">
        <v>26</v>
      </c>
      <c r="G7" t="s">
        <v>13</v>
      </c>
      <c r="H7" t="s">
        <v>5</v>
      </c>
      <c r="I7" s="1" t="s">
        <v>3</v>
      </c>
      <c r="J7" t="s">
        <v>4</v>
      </c>
      <c r="K7" s="1" t="s">
        <v>3</v>
      </c>
      <c r="L7" t="s">
        <v>4</v>
      </c>
      <c r="M7" s="1" t="s">
        <v>11</v>
      </c>
      <c r="N7" t="s">
        <v>10</v>
      </c>
      <c r="O7" s="1" t="s">
        <v>3</v>
      </c>
      <c r="P7" t="s">
        <v>4</v>
      </c>
      <c r="Q7" s="1" t="s">
        <v>3</v>
      </c>
      <c r="R7" t="s">
        <v>10</v>
      </c>
      <c r="S7" s="1" t="s">
        <v>9</v>
      </c>
      <c r="T7" t="s">
        <v>10</v>
      </c>
      <c r="U7" s="1" t="s">
        <v>9</v>
      </c>
      <c r="V7" t="s">
        <v>10</v>
      </c>
      <c r="W7" s="1" t="s">
        <v>9</v>
      </c>
      <c r="X7" t="s">
        <v>10</v>
      </c>
      <c r="Y7" s="1" t="s">
        <v>9</v>
      </c>
      <c r="Z7" t="s">
        <v>10</v>
      </c>
      <c r="AA7" s="1" t="s">
        <v>9</v>
      </c>
      <c r="AB7" t="s">
        <v>10</v>
      </c>
      <c r="AC7" s="1" t="s">
        <v>9</v>
      </c>
      <c r="AD7" t="s">
        <v>10</v>
      </c>
      <c r="AE7" s="1" t="s">
        <v>9</v>
      </c>
      <c r="AF7" t="s">
        <v>22</v>
      </c>
      <c r="AG7" s="1" t="s">
        <v>3</v>
      </c>
      <c r="AH7" t="s">
        <v>10</v>
      </c>
      <c r="AI7" s="1" t="s">
        <v>9</v>
      </c>
      <c r="AJ7" t="s">
        <v>10</v>
      </c>
      <c r="AK7" s="1" t="s">
        <v>9</v>
      </c>
      <c r="AL7" t="s">
        <v>4</v>
      </c>
      <c r="AM7" s="1" t="s">
        <v>11</v>
      </c>
      <c r="AN7" t="s">
        <v>22</v>
      </c>
      <c r="AO7" s="1" t="s">
        <v>3</v>
      </c>
      <c r="AP7" t="s">
        <v>23</v>
      </c>
      <c r="AQ7" s="1" t="s">
        <v>3</v>
      </c>
      <c r="AR7" t="s">
        <v>23</v>
      </c>
      <c r="AS7" s="1" t="s">
        <v>3</v>
      </c>
      <c r="AT7" t="s">
        <v>23</v>
      </c>
      <c r="AU7" s="1" t="s">
        <v>3</v>
      </c>
      <c r="AV7" t="s">
        <v>23</v>
      </c>
      <c r="AW7" s="1" t="s">
        <v>3</v>
      </c>
      <c r="AX7" t="s">
        <v>23</v>
      </c>
      <c r="AY7" s="1" t="s">
        <v>3</v>
      </c>
      <c r="BA7">
        <v>46</v>
      </c>
      <c r="BB7">
        <v>46</v>
      </c>
      <c r="BC7">
        <v>12</v>
      </c>
      <c r="BD7">
        <v>6</v>
      </c>
      <c r="BE7" t="s">
        <v>1</v>
      </c>
      <c r="BF7" t="s">
        <v>1</v>
      </c>
      <c r="BG7">
        <v>24.57</v>
      </c>
      <c r="BH7">
        <v>10</v>
      </c>
      <c r="BI7">
        <v>8</v>
      </c>
      <c r="BJ7">
        <v>2</v>
      </c>
      <c r="BR7" s="2"/>
    </row>
    <row r="8" spans="1:71" x14ac:dyDescent="0.55000000000000004">
      <c r="A8" t="s">
        <v>27</v>
      </c>
      <c r="B8">
        <v>7</v>
      </c>
      <c r="C8">
        <v>1</v>
      </c>
      <c r="D8">
        <v>7</v>
      </c>
      <c r="E8" s="2">
        <v>45931</v>
      </c>
      <c r="F8" t="s">
        <v>26</v>
      </c>
      <c r="G8" t="s">
        <v>12</v>
      </c>
      <c r="H8" t="s">
        <v>21</v>
      </c>
      <c r="I8" s="1" t="s">
        <v>3</v>
      </c>
      <c r="J8" t="s">
        <v>5</v>
      </c>
      <c r="K8" s="1" t="s">
        <v>3</v>
      </c>
      <c r="L8" t="s">
        <v>5</v>
      </c>
      <c r="M8" s="1" t="s">
        <v>3</v>
      </c>
      <c r="N8" t="s">
        <v>5</v>
      </c>
      <c r="O8" s="1" t="s">
        <v>3</v>
      </c>
      <c r="P8" t="s">
        <v>5</v>
      </c>
      <c r="Q8" s="1" t="s">
        <v>3</v>
      </c>
      <c r="R8" t="s">
        <v>5</v>
      </c>
      <c r="S8" s="1" t="s">
        <v>3</v>
      </c>
      <c r="T8" t="s">
        <v>5</v>
      </c>
      <c r="U8" s="1" t="s">
        <v>3</v>
      </c>
      <c r="V8" t="s">
        <v>5</v>
      </c>
      <c r="W8" s="1" t="s">
        <v>3</v>
      </c>
      <c r="X8" t="s">
        <v>5</v>
      </c>
      <c r="Y8" s="1" t="s">
        <v>3</v>
      </c>
      <c r="Z8" t="s">
        <v>5</v>
      </c>
      <c r="AA8" s="1" t="s">
        <v>3</v>
      </c>
      <c r="AB8" t="s">
        <v>5</v>
      </c>
      <c r="AC8" s="1" t="s">
        <v>3</v>
      </c>
      <c r="AD8" t="s">
        <v>5</v>
      </c>
      <c r="AE8" s="1" t="s">
        <v>3</v>
      </c>
      <c r="AF8" t="s">
        <v>5</v>
      </c>
      <c r="AG8" s="1" t="s">
        <v>3</v>
      </c>
      <c r="AH8" t="s">
        <v>5</v>
      </c>
      <c r="AI8" s="1" t="s">
        <v>3</v>
      </c>
      <c r="AJ8" t="s">
        <v>5</v>
      </c>
      <c r="AK8" s="1" t="s">
        <v>3</v>
      </c>
      <c r="AL8" t="s">
        <v>5</v>
      </c>
      <c r="AM8" s="1" t="s">
        <v>3</v>
      </c>
      <c r="AN8" t="s">
        <v>5</v>
      </c>
      <c r="AO8" s="1" t="s">
        <v>3</v>
      </c>
      <c r="AP8" t="s">
        <v>5</v>
      </c>
      <c r="AQ8" s="1" t="s">
        <v>3</v>
      </c>
      <c r="AR8" t="s">
        <v>5</v>
      </c>
      <c r="AS8" s="1" t="s">
        <v>3</v>
      </c>
      <c r="AT8" t="s">
        <v>5</v>
      </c>
      <c r="AU8" s="1" t="s">
        <v>3</v>
      </c>
      <c r="AV8" t="s">
        <v>5</v>
      </c>
      <c r="AW8" s="1" t="s">
        <v>3</v>
      </c>
      <c r="AX8" t="s">
        <v>5</v>
      </c>
      <c r="AY8" s="1" t="s">
        <v>3</v>
      </c>
      <c r="BA8">
        <v>47</v>
      </c>
      <c r="BB8">
        <v>47</v>
      </c>
      <c r="BC8">
        <v>13</v>
      </c>
      <c r="BD8">
        <v>7</v>
      </c>
      <c r="BE8" t="s">
        <v>1</v>
      </c>
      <c r="BF8" t="s">
        <v>1</v>
      </c>
      <c r="BG8">
        <v>23.84</v>
      </c>
      <c r="BH8">
        <v>8</v>
      </c>
      <c r="BI8">
        <v>8</v>
      </c>
      <c r="BJ8">
        <v>2</v>
      </c>
      <c r="BR8" s="2"/>
    </row>
    <row r="9" spans="1:71" x14ac:dyDescent="0.55000000000000004">
      <c r="A9" t="s">
        <v>27</v>
      </c>
      <c r="B9">
        <v>8</v>
      </c>
      <c r="C9">
        <v>1</v>
      </c>
      <c r="D9">
        <v>8</v>
      </c>
      <c r="E9" s="2">
        <v>45931</v>
      </c>
      <c r="F9" t="s">
        <v>26</v>
      </c>
      <c r="G9" t="s">
        <v>6</v>
      </c>
      <c r="H9" t="s">
        <v>22</v>
      </c>
      <c r="I9" s="1" t="s">
        <v>3</v>
      </c>
      <c r="J9" t="s">
        <v>22</v>
      </c>
      <c r="K9" s="1" t="s">
        <v>3</v>
      </c>
      <c r="L9" t="s">
        <v>22</v>
      </c>
      <c r="M9" s="1" t="s">
        <v>3</v>
      </c>
      <c r="N9" t="s">
        <v>5</v>
      </c>
      <c r="O9" s="1" t="s">
        <v>3</v>
      </c>
      <c r="P9" t="s">
        <v>5</v>
      </c>
      <c r="Q9" s="1" t="s">
        <v>3</v>
      </c>
      <c r="R9" t="s">
        <v>5</v>
      </c>
      <c r="S9" s="1" t="s">
        <v>3</v>
      </c>
      <c r="T9" t="s">
        <v>5</v>
      </c>
      <c r="U9" s="1" t="s">
        <v>3</v>
      </c>
      <c r="V9" t="s">
        <v>5</v>
      </c>
      <c r="W9" s="1" t="s">
        <v>3</v>
      </c>
      <c r="X9" t="s">
        <v>5</v>
      </c>
      <c r="Y9" s="1" t="s">
        <v>3</v>
      </c>
      <c r="Z9" t="s">
        <v>5</v>
      </c>
      <c r="AA9" s="1" t="s">
        <v>3</v>
      </c>
      <c r="AB9" t="s">
        <v>5</v>
      </c>
      <c r="AC9" s="1" t="s">
        <v>3</v>
      </c>
      <c r="AD9" t="s">
        <v>5</v>
      </c>
      <c r="AE9" s="1" t="s">
        <v>3</v>
      </c>
      <c r="AF9" t="s">
        <v>5</v>
      </c>
      <c r="AG9" s="1" t="s">
        <v>3</v>
      </c>
      <c r="AH9" t="s">
        <v>5</v>
      </c>
      <c r="AI9" s="1" t="s">
        <v>3</v>
      </c>
      <c r="AJ9" t="s">
        <v>5</v>
      </c>
      <c r="AK9" s="1" t="s">
        <v>3</v>
      </c>
      <c r="AL9" t="s">
        <v>5</v>
      </c>
      <c r="AM9" s="1" t="s">
        <v>3</v>
      </c>
      <c r="AN9" t="s">
        <v>5</v>
      </c>
      <c r="AO9" s="1" t="s">
        <v>3</v>
      </c>
      <c r="AP9" t="s">
        <v>5</v>
      </c>
      <c r="AQ9" s="1" t="s">
        <v>3</v>
      </c>
      <c r="AR9" t="s">
        <v>5</v>
      </c>
      <c r="AS9" s="1" t="s">
        <v>3</v>
      </c>
      <c r="AT9" t="s">
        <v>5</v>
      </c>
      <c r="AU9" s="1" t="s">
        <v>3</v>
      </c>
      <c r="AV9" t="s">
        <v>5</v>
      </c>
      <c r="AW9" s="1" t="s">
        <v>3</v>
      </c>
      <c r="AX9" t="s">
        <v>5</v>
      </c>
      <c r="AY9" s="1" t="s">
        <v>3</v>
      </c>
      <c r="BA9">
        <v>48</v>
      </c>
      <c r="BB9">
        <v>48</v>
      </c>
      <c r="BC9">
        <v>15</v>
      </c>
      <c r="BD9">
        <v>8</v>
      </c>
      <c r="BE9" t="s">
        <v>1</v>
      </c>
      <c r="BF9" t="s">
        <v>1</v>
      </c>
      <c r="BG9">
        <v>24.17</v>
      </c>
      <c r="BH9">
        <v>8</v>
      </c>
      <c r="BI9">
        <v>7</v>
      </c>
      <c r="BJ9">
        <v>1</v>
      </c>
      <c r="BK9">
        <v>2</v>
      </c>
      <c r="BR9" s="2">
        <v>45924</v>
      </c>
    </row>
    <row r="10" spans="1:71" s="15" customFormat="1" x14ac:dyDescent="0.55000000000000004">
      <c r="A10" t="s">
        <v>27</v>
      </c>
      <c r="B10">
        <v>9</v>
      </c>
      <c r="C10">
        <v>2</v>
      </c>
      <c r="D10">
        <v>1</v>
      </c>
      <c r="E10" s="2">
        <v>45932</v>
      </c>
      <c r="F10" t="s">
        <v>26</v>
      </c>
      <c r="G10" t="s">
        <v>13</v>
      </c>
      <c r="H10" s="15" t="s">
        <v>21</v>
      </c>
      <c r="I10" s="16" t="s">
        <v>3</v>
      </c>
      <c r="J10" s="15" t="s">
        <v>21</v>
      </c>
      <c r="K10" s="16" t="s">
        <v>3</v>
      </c>
      <c r="L10" s="15" t="s">
        <v>10</v>
      </c>
      <c r="M10" s="16" t="s">
        <v>9</v>
      </c>
      <c r="N10" s="15" t="s">
        <v>10</v>
      </c>
      <c r="O10" s="16" t="s">
        <v>9</v>
      </c>
      <c r="P10" s="15" t="s">
        <v>10</v>
      </c>
      <c r="Q10" s="16" t="s">
        <v>9</v>
      </c>
      <c r="R10" s="15" t="s">
        <v>10</v>
      </c>
      <c r="S10" s="16" t="s">
        <v>9</v>
      </c>
      <c r="T10" s="15" t="s">
        <v>10</v>
      </c>
      <c r="U10" s="16" t="s">
        <v>9</v>
      </c>
      <c r="V10" s="15" t="s">
        <v>10</v>
      </c>
      <c r="W10" s="16" t="s">
        <v>9</v>
      </c>
      <c r="X10" s="15" t="s">
        <v>10</v>
      </c>
      <c r="Y10" s="16" t="s">
        <v>9</v>
      </c>
      <c r="Z10" s="15" t="s">
        <v>10</v>
      </c>
      <c r="AA10" s="16" t="s">
        <v>9</v>
      </c>
      <c r="AB10" s="15" t="s">
        <v>10</v>
      </c>
      <c r="AC10" s="16" t="s">
        <v>9</v>
      </c>
      <c r="AD10" s="15" t="s">
        <v>10</v>
      </c>
      <c r="AE10" s="16" t="s">
        <v>3</v>
      </c>
      <c r="AF10" s="15" t="s">
        <v>5</v>
      </c>
      <c r="AG10" s="16" t="s">
        <v>3</v>
      </c>
      <c r="AH10" s="15" t="s">
        <v>5</v>
      </c>
      <c r="AI10" s="16" t="s">
        <v>3</v>
      </c>
      <c r="AK10" s="16"/>
      <c r="AL10" s="15" t="s">
        <v>5</v>
      </c>
      <c r="AM10" s="16" t="s">
        <v>3</v>
      </c>
      <c r="AN10" s="15" t="s">
        <v>5</v>
      </c>
      <c r="AO10" s="16" t="s">
        <v>3</v>
      </c>
      <c r="AP10" s="15" t="s">
        <v>5</v>
      </c>
      <c r="AQ10" s="16" t="s">
        <v>3</v>
      </c>
      <c r="AR10" s="15" t="s">
        <v>5</v>
      </c>
      <c r="AS10" s="16" t="s">
        <v>3</v>
      </c>
      <c r="AT10" s="15" t="s">
        <v>5</v>
      </c>
      <c r="AU10" s="16" t="s">
        <v>3</v>
      </c>
      <c r="AV10" s="15" t="s">
        <v>5</v>
      </c>
      <c r="AW10" s="16" t="s">
        <v>3</v>
      </c>
      <c r="AX10" s="15" t="s">
        <v>5</v>
      </c>
      <c r="AY10" s="16" t="s">
        <v>3</v>
      </c>
      <c r="BA10">
        <v>49</v>
      </c>
      <c r="BB10">
        <v>49</v>
      </c>
      <c r="BC10">
        <v>16</v>
      </c>
      <c r="BD10">
        <v>9</v>
      </c>
      <c r="BE10" t="s">
        <v>1</v>
      </c>
      <c r="BF10" t="s">
        <v>1</v>
      </c>
      <c r="BG10">
        <v>25.8</v>
      </c>
      <c r="BH10">
        <v>11</v>
      </c>
      <c r="BI10">
        <v>7</v>
      </c>
      <c r="BJ10">
        <v>1</v>
      </c>
      <c r="BK10"/>
      <c r="BR10" s="2"/>
    </row>
    <row r="11" spans="1:71" x14ac:dyDescent="0.55000000000000004">
      <c r="A11" t="s">
        <v>27</v>
      </c>
      <c r="B11">
        <v>10</v>
      </c>
      <c r="C11">
        <v>2</v>
      </c>
      <c r="D11">
        <v>2</v>
      </c>
      <c r="E11" s="2">
        <v>45932</v>
      </c>
      <c r="F11" t="s">
        <v>26</v>
      </c>
      <c r="G11" t="s">
        <v>12</v>
      </c>
      <c r="H11" t="s">
        <v>10</v>
      </c>
      <c r="I11" s="1" t="s">
        <v>3</v>
      </c>
      <c r="J11" t="s">
        <v>10</v>
      </c>
      <c r="K11" s="1" t="s">
        <v>3</v>
      </c>
      <c r="L11" t="s">
        <v>10</v>
      </c>
      <c r="M11" s="1" t="s">
        <v>3</v>
      </c>
      <c r="N11" t="s">
        <v>10</v>
      </c>
      <c r="O11" s="1" t="s">
        <v>3</v>
      </c>
      <c r="P11" t="s">
        <v>10</v>
      </c>
      <c r="Q11" s="1" t="s">
        <v>3</v>
      </c>
      <c r="R11" t="s">
        <v>10</v>
      </c>
      <c r="S11" s="1" t="s">
        <v>9</v>
      </c>
      <c r="T11" t="s">
        <v>10</v>
      </c>
      <c r="U11" s="1" t="s">
        <v>3</v>
      </c>
      <c r="V11" t="s">
        <v>5</v>
      </c>
      <c r="W11" s="1" t="s">
        <v>3</v>
      </c>
      <c r="X11" t="s">
        <v>5</v>
      </c>
      <c r="Y11" s="1" t="s">
        <v>3</v>
      </c>
      <c r="Z11" t="s">
        <v>5</v>
      </c>
      <c r="AA11" s="1" t="s">
        <v>3</v>
      </c>
      <c r="AB11" t="s">
        <v>5</v>
      </c>
      <c r="AC11" s="1" t="s">
        <v>3</v>
      </c>
      <c r="AD11" t="s">
        <v>5</v>
      </c>
      <c r="AE11" s="1" t="s">
        <v>3</v>
      </c>
      <c r="AF11" t="s">
        <v>5</v>
      </c>
      <c r="AG11" s="1" t="s">
        <v>3</v>
      </c>
      <c r="AH11" t="s">
        <v>5</v>
      </c>
      <c r="AI11" s="1" t="s">
        <v>3</v>
      </c>
      <c r="AK11" s="1"/>
      <c r="AL11" t="s">
        <v>5</v>
      </c>
      <c r="AM11" s="1" t="s">
        <v>3</v>
      </c>
      <c r="AN11" t="s">
        <v>5</v>
      </c>
      <c r="AO11" s="1" t="s">
        <v>3</v>
      </c>
      <c r="AP11" t="s">
        <v>5</v>
      </c>
      <c r="AQ11" s="1" t="s">
        <v>3</v>
      </c>
      <c r="AR11" t="s">
        <v>5</v>
      </c>
      <c r="AS11" s="1" t="s">
        <v>3</v>
      </c>
      <c r="AT11" t="s">
        <v>23</v>
      </c>
      <c r="AU11" s="1" t="s">
        <v>3</v>
      </c>
      <c r="AV11" t="s">
        <v>5</v>
      </c>
      <c r="AW11" s="1" t="s">
        <v>3</v>
      </c>
      <c r="AX11" t="s">
        <v>5</v>
      </c>
      <c r="AY11" s="1" t="s">
        <v>3</v>
      </c>
      <c r="BA11">
        <v>50</v>
      </c>
      <c r="BB11">
        <v>50</v>
      </c>
      <c r="BC11">
        <v>22</v>
      </c>
      <c r="BD11">
        <v>10</v>
      </c>
      <c r="BE11" t="s">
        <v>1</v>
      </c>
      <c r="BF11" t="s">
        <v>1</v>
      </c>
      <c r="BG11">
        <v>28.47</v>
      </c>
      <c r="BH11">
        <v>14</v>
      </c>
      <c r="BI11">
        <v>8</v>
      </c>
      <c r="BJ11">
        <v>1</v>
      </c>
      <c r="BK11">
        <v>2</v>
      </c>
      <c r="BR11" s="2">
        <v>45901</v>
      </c>
    </row>
    <row r="12" spans="1:71" x14ac:dyDescent="0.55000000000000004">
      <c r="A12" t="s">
        <v>27</v>
      </c>
      <c r="B12">
        <v>11</v>
      </c>
      <c r="C12">
        <v>2</v>
      </c>
      <c r="D12">
        <v>3</v>
      </c>
      <c r="E12" s="2">
        <v>45932</v>
      </c>
      <c r="F12" t="s">
        <v>26</v>
      </c>
      <c r="G12" t="s">
        <v>6</v>
      </c>
      <c r="H12" t="s">
        <v>21</v>
      </c>
      <c r="I12" s="1" t="s">
        <v>3</v>
      </c>
      <c r="J12" t="s">
        <v>4</v>
      </c>
      <c r="K12" s="1" t="s">
        <v>3</v>
      </c>
      <c r="L12" t="s">
        <v>10</v>
      </c>
      <c r="M12" s="1" t="s">
        <v>3</v>
      </c>
      <c r="N12" t="s">
        <v>10</v>
      </c>
      <c r="O12" s="1" t="s">
        <v>3</v>
      </c>
      <c r="P12" t="s">
        <v>10</v>
      </c>
      <c r="Q12" s="1" t="s">
        <v>3</v>
      </c>
      <c r="R12" t="s">
        <v>10</v>
      </c>
      <c r="S12" s="1" t="s">
        <v>3</v>
      </c>
      <c r="T12" t="s">
        <v>10</v>
      </c>
      <c r="U12" s="1" t="s">
        <v>3</v>
      </c>
      <c r="V12" t="s">
        <v>21</v>
      </c>
      <c r="W12" s="1" t="s">
        <v>3</v>
      </c>
      <c r="X12" t="s">
        <v>10</v>
      </c>
      <c r="Y12" s="1" t="s">
        <v>3</v>
      </c>
      <c r="Z12" t="s">
        <v>10</v>
      </c>
      <c r="AA12" s="1" t="s">
        <v>3</v>
      </c>
      <c r="AB12" t="s">
        <v>10</v>
      </c>
      <c r="AC12" s="1" t="s">
        <v>3</v>
      </c>
      <c r="AD12" t="s">
        <v>10</v>
      </c>
      <c r="AE12" s="1" t="s">
        <v>3</v>
      </c>
      <c r="AF12" t="s">
        <v>10</v>
      </c>
      <c r="AG12" s="1" t="s">
        <v>3</v>
      </c>
      <c r="AH12" t="s">
        <v>10</v>
      </c>
      <c r="AI12" s="1" t="s">
        <v>9</v>
      </c>
      <c r="AK12" s="1"/>
      <c r="AL12" t="s">
        <v>4</v>
      </c>
      <c r="AM12" s="1" t="s">
        <v>3</v>
      </c>
      <c r="AN12" t="s">
        <v>10</v>
      </c>
      <c r="AO12" s="1" t="s">
        <v>3</v>
      </c>
      <c r="AP12" t="s">
        <v>10</v>
      </c>
      <c r="AQ12" s="1" t="s">
        <v>3</v>
      </c>
      <c r="AR12" t="s">
        <v>10</v>
      </c>
      <c r="AS12" s="1" t="s">
        <v>3</v>
      </c>
      <c r="AT12" t="s">
        <v>10</v>
      </c>
      <c r="AU12" s="1" t="s">
        <v>3</v>
      </c>
      <c r="AV12" t="s">
        <v>10</v>
      </c>
      <c r="AW12" s="1" t="s">
        <v>3</v>
      </c>
      <c r="AX12" t="s">
        <v>10</v>
      </c>
      <c r="AY12" s="1" t="s">
        <v>3</v>
      </c>
      <c r="BA12">
        <v>51</v>
      </c>
      <c r="BB12">
        <v>51</v>
      </c>
      <c r="BC12">
        <v>23</v>
      </c>
      <c r="BD12">
        <v>11</v>
      </c>
      <c r="BE12" t="s">
        <v>1</v>
      </c>
      <c r="BF12" t="s">
        <v>1</v>
      </c>
      <c r="BG12">
        <v>23.85</v>
      </c>
      <c r="BH12">
        <v>8</v>
      </c>
      <c r="BI12">
        <v>8</v>
      </c>
      <c r="BJ12">
        <v>2</v>
      </c>
      <c r="BR12" s="2"/>
    </row>
    <row r="13" spans="1:71" x14ac:dyDescent="0.55000000000000004">
      <c r="A13" t="s">
        <v>27</v>
      </c>
      <c r="B13">
        <v>12</v>
      </c>
      <c r="C13">
        <v>2</v>
      </c>
      <c r="D13">
        <v>4</v>
      </c>
      <c r="E13" s="2">
        <v>45932</v>
      </c>
      <c r="F13" t="s">
        <v>26</v>
      </c>
      <c r="G13" t="s">
        <v>13</v>
      </c>
      <c r="H13" t="s">
        <v>21</v>
      </c>
      <c r="I13" s="1" t="s">
        <v>3</v>
      </c>
      <c r="J13" t="s">
        <v>10</v>
      </c>
      <c r="K13" s="1" t="s">
        <v>3</v>
      </c>
      <c r="L13" t="s">
        <v>5</v>
      </c>
      <c r="M13" s="1" t="s">
        <v>3</v>
      </c>
      <c r="N13" t="s">
        <v>5</v>
      </c>
      <c r="O13" s="1" t="s">
        <v>3</v>
      </c>
      <c r="P13" t="s">
        <v>5</v>
      </c>
      <c r="Q13" s="1" t="s">
        <v>3</v>
      </c>
      <c r="R13" t="s">
        <v>5</v>
      </c>
      <c r="S13" s="1" t="s">
        <v>3</v>
      </c>
      <c r="T13" t="s">
        <v>5</v>
      </c>
      <c r="U13" s="1" t="s">
        <v>3</v>
      </c>
      <c r="V13" t="s">
        <v>5</v>
      </c>
      <c r="W13" s="1" t="s">
        <v>3</v>
      </c>
      <c r="X13" t="s">
        <v>5</v>
      </c>
      <c r="Y13" s="1" t="s">
        <v>3</v>
      </c>
      <c r="Z13" t="s">
        <v>5</v>
      </c>
      <c r="AA13" s="1" t="s">
        <v>3</v>
      </c>
      <c r="AB13" t="s">
        <v>5</v>
      </c>
      <c r="AC13" s="1" t="s">
        <v>3</v>
      </c>
      <c r="AD13" t="s">
        <v>5</v>
      </c>
      <c r="AE13" s="1" t="s">
        <v>3</v>
      </c>
      <c r="AF13" t="s">
        <v>5</v>
      </c>
      <c r="AG13" s="1" t="s">
        <v>3</v>
      </c>
      <c r="AH13" t="s">
        <v>5</v>
      </c>
      <c r="AI13" s="1" t="s">
        <v>3</v>
      </c>
      <c r="AK13" s="1"/>
      <c r="AL13" t="s">
        <v>5</v>
      </c>
      <c r="AM13" s="1" t="s">
        <v>3</v>
      </c>
      <c r="AN13" t="s">
        <v>5</v>
      </c>
      <c r="AO13" s="1" t="s">
        <v>3</v>
      </c>
      <c r="AP13" t="s">
        <v>5</v>
      </c>
      <c r="AQ13" s="1" t="s">
        <v>3</v>
      </c>
      <c r="AR13" t="s">
        <v>5</v>
      </c>
      <c r="AS13" s="1" t="s">
        <v>3</v>
      </c>
      <c r="AT13" t="s">
        <v>5</v>
      </c>
      <c r="AU13" s="1" t="s">
        <v>3</v>
      </c>
      <c r="AV13" t="s">
        <v>5</v>
      </c>
      <c r="AW13" s="1" t="s">
        <v>3</v>
      </c>
      <c r="AX13" t="s">
        <v>5</v>
      </c>
      <c r="AY13" s="1" t="s">
        <v>3</v>
      </c>
      <c r="BA13">
        <v>52</v>
      </c>
      <c r="BB13">
        <v>52</v>
      </c>
      <c r="BC13">
        <v>24</v>
      </c>
      <c r="BD13">
        <v>12</v>
      </c>
      <c r="BE13" t="s">
        <v>1</v>
      </c>
      <c r="BF13" t="s">
        <v>1</v>
      </c>
      <c r="BG13">
        <v>28.17</v>
      </c>
      <c r="BH13">
        <v>15</v>
      </c>
      <c r="BI13">
        <v>8</v>
      </c>
      <c r="BJ13">
        <v>2</v>
      </c>
      <c r="BR13" s="2"/>
    </row>
    <row r="14" spans="1:71" x14ac:dyDescent="0.55000000000000004">
      <c r="A14" t="s">
        <v>27</v>
      </c>
      <c r="B14">
        <v>13</v>
      </c>
      <c r="C14">
        <v>2</v>
      </c>
      <c r="D14">
        <v>5</v>
      </c>
      <c r="E14" s="2">
        <v>45932</v>
      </c>
      <c r="F14" t="s">
        <v>26</v>
      </c>
      <c r="G14" t="s">
        <v>12</v>
      </c>
      <c r="H14" t="s">
        <v>22</v>
      </c>
      <c r="I14" s="1" t="s">
        <v>3</v>
      </c>
      <c r="J14" t="s">
        <v>10</v>
      </c>
      <c r="K14" s="1" t="s">
        <v>9</v>
      </c>
      <c r="L14" t="s">
        <v>21</v>
      </c>
      <c r="M14" s="1" t="s">
        <v>11</v>
      </c>
      <c r="N14" t="s">
        <v>10</v>
      </c>
      <c r="O14" s="1" t="s">
        <v>9</v>
      </c>
      <c r="P14" t="s">
        <v>10</v>
      </c>
      <c r="Q14" s="1" t="s">
        <v>9</v>
      </c>
      <c r="R14" t="s">
        <v>10</v>
      </c>
      <c r="S14" s="1" t="s">
        <v>9</v>
      </c>
      <c r="T14" t="s">
        <v>10</v>
      </c>
      <c r="U14" s="1" t="s">
        <v>9</v>
      </c>
      <c r="V14" t="s">
        <v>10</v>
      </c>
      <c r="W14" s="1" t="s">
        <v>9</v>
      </c>
      <c r="X14" t="s">
        <v>10</v>
      </c>
      <c r="Y14" s="1" t="s">
        <v>9</v>
      </c>
      <c r="Z14" t="s">
        <v>10</v>
      </c>
      <c r="AA14" s="1" t="s">
        <v>9</v>
      </c>
      <c r="AB14" t="s">
        <v>10</v>
      </c>
      <c r="AC14" s="1" t="s">
        <v>9</v>
      </c>
      <c r="AD14" t="s">
        <v>10</v>
      </c>
      <c r="AE14" s="1" t="s">
        <v>9</v>
      </c>
      <c r="AF14" t="s">
        <v>10</v>
      </c>
      <c r="AG14" s="1" t="s">
        <v>9</v>
      </c>
      <c r="AH14" t="s">
        <v>10</v>
      </c>
      <c r="AI14" s="1" t="s">
        <v>9</v>
      </c>
      <c r="AK14" s="1"/>
      <c r="AL14" t="s">
        <v>10</v>
      </c>
      <c r="AM14" s="1" t="s">
        <v>9</v>
      </c>
      <c r="AN14" t="s">
        <v>10</v>
      </c>
      <c r="AO14" s="1" t="s">
        <v>9</v>
      </c>
      <c r="AP14" t="s">
        <v>10</v>
      </c>
      <c r="AQ14" s="1" t="s">
        <v>9</v>
      </c>
      <c r="AR14" t="s">
        <v>10</v>
      </c>
      <c r="AS14" s="1" t="s">
        <v>9</v>
      </c>
      <c r="AT14" t="s">
        <v>10</v>
      </c>
      <c r="AU14" s="1" t="s">
        <v>9</v>
      </c>
      <c r="AV14" t="s">
        <v>10</v>
      </c>
      <c r="AW14" s="1" t="s">
        <v>9</v>
      </c>
      <c r="AX14" t="s">
        <v>10</v>
      </c>
      <c r="AY14" s="1" t="s">
        <v>9</v>
      </c>
      <c r="BA14">
        <v>53</v>
      </c>
      <c r="BB14">
        <v>53</v>
      </c>
      <c r="BC14">
        <v>26</v>
      </c>
      <c r="BD14">
        <v>13</v>
      </c>
      <c r="BE14" t="s">
        <v>1</v>
      </c>
      <c r="BF14" t="s">
        <v>1</v>
      </c>
      <c r="BG14">
        <v>28.33</v>
      </c>
      <c r="BH14">
        <v>17</v>
      </c>
      <c r="BI14">
        <v>8</v>
      </c>
      <c r="BJ14">
        <v>2</v>
      </c>
      <c r="BK14">
        <v>2</v>
      </c>
      <c r="BR14" s="2">
        <v>45929</v>
      </c>
    </row>
    <row r="15" spans="1:71" x14ac:dyDescent="0.55000000000000004">
      <c r="A15" t="s">
        <v>27</v>
      </c>
      <c r="B15">
        <v>14</v>
      </c>
      <c r="C15">
        <v>2</v>
      </c>
      <c r="D15">
        <v>6</v>
      </c>
      <c r="E15" s="2">
        <v>45932</v>
      </c>
      <c r="F15" t="s">
        <v>26</v>
      </c>
      <c r="G15" t="s">
        <v>6</v>
      </c>
      <c r="H15" t="s">
        <v>5</v>
      </c>
      <c r="I15" s="1" t="s">
        <v>3</v>
      </c>
      <c r="J15" t="s">
        <v>22</v>
      </c>
      <c r="K15" s="1" t="s">
        <v>3</v>
      </c>
      <c r="L15" t="s">
        <v>10</v>
      </c>
      <c r="M15" s="1" t="s">
        <v>3</v>
      </c>
      <c r="N15" t="s">
        <v>10</v>
      </c>
      <c r="O15" s="1" t="s">
        <v>3</v>
      </c>
      <c r="P15" t="s">
        <v>10</v>
      </c>
      <c r="Q15" s="1" t="s">
        <v>9</v>
      </c>
      <c r="R15" t="s">
        <v>10</v>
      </c>
      <c r="S15" s="1" t="s">
        <v>9</v>
      </c>
      <c r="T15" t="s">
        <v>22</v>
      </c>
      <c r="U15" s="1" t="s">
        <v>3</v>
      </c>
      <c r="V15" t="s">
        <v>22</v>
      </c>
      <c r="W15" s="1" t="s">
        <v>3</v>
      </c>
      <c r="X15" t="s">
        <v>22</v>
      </c>
      <c r="Y15" s="1" t="s">
        <v>3</v>
      </c>
      <c r="Z15" t="s">
        <v>22</v>
      </c>
      <c r="AA15" s="1" t="s">
        <v>3</v>
      </c>
      <c r="AB15" t="s">
        <v>10</v>
      </c>
      <c r="AC15" s="1" t="s">
        <v>3</v>
      </c>
      <c r="AD15" t="s">
        <v>10</v>
      </c>
      <c r="AE15" s="1" t="s">
        <v>3</v>
      </c>
      <c r="AF15" t="s">
        <v>4</v>
      </c>
      <c r="AG15" s="1" t="s">
        <v>3</v>
      </c>
      <c r="AH15" t="s">
        <v>10</v>
      </c>
      <c r="AI15" s="1" t="s">
        <v>9</v>
      </c>
      <c r="AK15" s="1"/>
      <c r="AL15" t="s">
        <v>10</v>
      </c>
      <c r="AM15" s="1" t="s">
        <v>9</v>
      </c>
      <c r="AN15" t="s">
        <v>10</v>
      </c>
      <c r="AO15" s="1" t="s">
        <v>9</v>
      </c>
      <c r="AP15" t="s">
        <v>10</v>
      </c>
      <c r="AQ15" s="1" t="s">
        <v>9</v>
      </c>
      <c r="AR15" t="s">
        <v>10</v>
      </c>
      <c r="AS15" s="1" t="s">
        <v>9</v>
      </c>
      <c r="AT15" t="s">
        <v>10</v>
      </c>
      <c r="AU15" s="1" t="s">
        <v>9</v>
      </c>
      <c r="AV15" t="s">
        <v>10</v>
      </c>
      <c r="AW15" s="1" t="s">
        <v>9</v>
      </c>
      <c r="AX15" t="s">
        <v>10</v>
      </c>
      <c r="AY15" s="1" t="s">
        <v>9</v>
      </c>
      <c r="BA15">
        <v>54</v>
      </c>
      <c r="BB15">
        <v>54</v>
      </c>
      <c r="BC15">
        <v>28</v>
      </c>
      <c r="BD15">
        <v>14</v>
      </c>
      <c r="BE15" t="s">
        <v>1</v>
      </c>
      <c r="BF15" t="s">
        <v>1</v>
      </c>
      <c r="BG15">
        <v>26.42</v>
      </c>
      <c r="BH15">
        <v>13</v>
      </c>
      <c r="BI15">
        <v>8</v>
      </c>
      <c r="BJ15">
        <v>2</v>
      </c>
      <c r="BK15">
        <v>2</v>
      </c>
      <c r="BR15" s="2">
        <v>45904</v>
      </c>
    </row>
    <row r="16" spans="1:71" x14ac:dyDescent="0.55000000000000004">
      <c r="A16" t="s">
        <v>27</v>
      </c>
      <c r="B16">
        <v>15</v>
      </c>
      <c r="C16">
        <v>2</v>
      </c>
      <c r="D16">
        <v>7</v>
      </c>
      <c r="E16" s="2">
        <v>45932</v>
      </c>
      <c r="F16" t="s">
        <v>26</v>
      </c>
      <c r="G16" t="s">
        <v>13</v>
      </c>
      <c r="H16" t="s">
        <v>21</v>
      </c>
      <c r="I16" s="1" t="s">
        <v>3</v>
      </c>
      <c r="J16" t="s">
        <v>4</v>
      </c>
      <c r="K16" s="1" t="s">
        <v>3</v>
      </c>
      <c r="L16" t="s">
        <v>10</v>
      </c>
      <c r="M16" s="1" t="s">
        <v>3</v>
      </c>
      <c r="N16" t="s">
        <v>5</v>
      </c>
      <c r="O16" s="1" t="s">
        <v>3</v>
      </c>
      <c r="P16" t="s">
        <v>10</v>
      </c>
      <c r="Q16" s="1" t="s">
        <v>3</v>
      </c>
      <c r="R16" t="s">
        <v>10</v>
      </c>
      <c r="S16" s="1" t="s">
        <v>3</v>
      </c>
      <c r="T16" t="s">
        <v>10</v>
      </c>
      <c r="U16" s="1" t="s">
        <v>3</v>
      </c>
      <c r="V16" t="s">
        <v>10</v>
      </c>
      <c r="W16" s="1" t="s">
        <v>3</v>
      </c>
      <c r="X16" t="s">
        <v>10</v>
      </c>
      <c r="Y16" s="1" t="s">
        <v>3</v>
      </c>
      <c r="Z16" t="s">
        <v>10</v>
      </c>
      <c r="AA16" s="1" t="s">
        <v>3</v>
      </c>
      <c r="AB16" t="s">
        <v>10</v>
      </c>
      <c r="AC16" s="1" t="s">
        <v>3</v>
      </c>
      <c r="AD16" t="s">
        <v>10</v>
      </c>
      <c r="AE16" s="1" t="s">
        <v>3</v>
      </c>
      <c r="AF16" t="s">
        <v>10</v>
      </c>
      <c r="AG16" s="1" t="s">
        <v>3</v>
      </c>
      <c r="AH16" t="s">
        <v>10</v>
      </c>
      <c r="AI16" s="1" t="s">
        <v>3</v>
      </c>
      <c r="AK16" s="1"/>
      <c r="AL16" t="s">
        <v>10</v>
      </c>
      <c r="AM16" s="1" t="s">
        <v>3</v>
      </c>
      <c r="AN16" t="s">
        <v>10</v>
      </c>
      <c r="AO16" s="1" t="s">
        <v>3</v>
      </c>
      <c r="AP16" t="s">
        <v>10</v>
      </c>
      <c r="AQ16" s="1" t="s">
        <v>3</v>
      </c>
      <c r="AR16" t="s">
        <v>10</v>
      </c>
      <c r="AS16" s="1" t="s">
        <v>3</v>
      </c>
      <c r="AT16" t="s">
        <v>10</v>
      </c>
      <c r="AU16" s="1" t="s">
        <v>3</v>
      </c>
      <c r="AV16" t="s">
        <v>10</v>
      </c>
      <c r="AW16" s="1" t="s">
        <v>3</v>
      </c>
      <c r="AX16" t="s">
        <v>10</v>
      </c>
      <c r="AY16" s="1" t="s">
        <v>3</v>
      </c>
      <c r="BA16">
        <v>55</v>
      </c>
      <c r="BB16">
        <v>55</v>
      </c>
      <c r="BC16">
        <v>29</v>
      </c>
      <c r="BD16">
        <v>15</v>
      </c>
      <c r="BE16" t="s">
        <v>1</v>
      </c>
      <c r="BF16" t="s">
        <v>1</v>
      </c>
      <c r="BG16">
        <v>29.97</v>
      </c>
      <c r="BH16">
        <v>17</v>
      </c>
      <c r="BI16">
        <v>8</v>
      </c>
      <c r="BJ16">
        <v>2</v>
      </c>
      <c r="BK16">
        <v>2</v>
      </c>
      <c r="BR16" s="2">
        <v>45902</v>
      </c>
    </row>
    <row r="17" spans="1:70" x14ac:dyDescent="0.55000000000000004">
      <c r="A17" t="s">
        <v>27</v>
      </c>
      <c r="B17">
        <v>16</v>
      </c>
      <c r="C17">
        <v>2</v>
      </c>
      <c r="D17">
        <v>8</v>
      </c>
      <c r="E17" s="2">
        <v>45932</v>
      </c>
      <c r="F17" t="s">
        <v>26</v>
      </c>
      <c r="G17" t="s">
        <v>12</v>
      </c>
      <c r="H17" t="s">
        <v>21</v>
      </c>
      <c r="I17" s="1" t="s">
        <v>3</v>
      </c>
      <c r="J17" t="s">
        <v>4</v>
      </c>
      <c r="K17" s="1" t="s">
        <v>3</v>
      </c>
      <c r="L17" t="s">
        <v>5</v>
      </c>
      <c r="M17" s="1" t="s">
        <v>3</v>
      </c>
      <c r="N17" t="s">
        <v>23</v>
      </c>
      <c r="O17" s="1" t="s">
        <v>3</v>
      </c>
      <c r="P17" t="s">
        <v>5</v>
      </c>
      <c r="Q17" s="1" t="s">
        <v>3</v>
      </c>
      <c r="R17" t="s">
        <v>23</v>
      </c>
      <c r="S17" s="1" t="s">
        <v>3</v>
      </c>
      <c r="T17" t="s">
        <v>23</v>
      </c>
      <c r="U17" s="1" t="s">
        <v>3</v>
      </c>
      <c r="V17" t="s">
        <v>5</v>
      </c>
      <c r="W17" s="1" t="s">
        <v>3</v>
      </c>
      <c r="X17" t="s">
        <v>5</v>
      </c>
      <c r="Y17" s="1" t="s">
        <v>3</v>
      </c>
      <c r="Z17" t="s">
        <v>5</v>
      </c>
      <c r="AA17" s="1" t="s">
        <v>3</v>
      </c>
      <c r="AB17" t="s">
        <v>5</v>
      </c>
      <c r="AC17" s="1" t="s">
        <v>3</v>
      </c>
      <c r="AD17" t="s">
        <v>5</v>
      </c>
      <c r="AE17" s="1" t="s">
        <v>3</v>
      </c>
      <c r="AF17" t="s">
        <v>5</v>
      </c>
      <c r="AG17" s="1" t="s">
        <v>3</v>
      </c>
      <c r="AH17" t="s">
        <v>23</v>
      </c>
      <c r="AI17" s="1" t="s">
        <v>3</v>
      </c>
      <c r="AK17" s="1"/>
      <c r="AL17" t="s">
        <v>23</v>
      </c>
      <c r="AM17" s="1" t="s">
        <v>3</v>
      </c>
      <c r="AN17" t="s">
        <v>5</v>
      </c>
      <c r="AO17" s="1" t="s">
        <v>3</v>
      </c>
      <c r="AP17" t="s">
        <v>5</v>
      </c>
      <c r="AQ17" s="1" t="s">
        <v>3</v>
      </c>
      <c r="AR17" t="s">
        <v>23</v>
      </c>
      <c r="AS17" s="1" t="s">
        <v>3</v>
      </c>
      <c r="AT17" t="s">
        <v>23</v>
      </c>
      <c r="AU17" s="1" t="s">
        <v>3</v>
      </c>
      <c r="AV17" t="s">
        <v>5</v>
      </c>
      <c r="AW17" s="1" t="s">
        <v>3</v>
      </c>
      <c r="AX17" t="s">
        <v>5</v>
      </c>
      <c r="AY17" s="1" t="s">
        <v>3</v>
      </c>
      <c r="BA17">
        <v>56</v>
      </c>
      <c r="BB17">
        <v>56</v>
      </c>
      <c r="BC17">
        <v>30</v>
      </c>
      <c r="BD17">
        <v>16</v>
      </c>
      <c r="BE17" t="s">
        <v>1</v>
      </c>
      <c r="BF17" t="s">
        <v>1</v>
      </c>
      <c r="BG17">
        <v>27.18</v>
      </c>
      <c r="BH17">
        <v>14</v>
      </c>
      <c r="BI17">
        <v>7</v>
      </c>
      <c r="BJ17">
        <v>2</v>
      </c>
      <c r="BK17">
        <v>2</v>
      </c>
      <c r="BR17" s="2"/>
    </row>
    <row r="18" spans="1:70" s="15" customFormat="1" x14ac:dyDescent="0.55000000000000004">
      <c r="A18" t="s">
        <v>27</v>
      </c>
      <c r="B18">
        <v>17</v>
      </c>
      <c r="C18">
        <v>3</v>
      </c>
      <c r="D18">
        <v>1</v>
      </c>
      <c r="E18" s="2">
        <v>45933</v>
      </c>
      <c r="F18" t="s">
        <v>26</v>
      </c>
      <c r="G18" t="s">
        <v>6</v>
      </c>
      <c r="H18" s="15" t="s">
        <v>5</v>
      </c>
      <c r="I18" s="16" t="s">
        <v>3</v>
      </c>
      <c r="J18" s="15" t="s">
        <v>5</v>
      </c>
      <c r="K18" s="16" t="s">
        <v>3</v>
      </c>
      <c r="L18" s="15" t="s">
        <v>5</v>
      </c>
      <c r="M18" s="16" t="s">
        <v>3</v>
      </c>
      <c r="N18" s="15" t="s">
        <v>5</v>
      </c>
      <c r="O18" s="16" t="s">
        <v>3</v>
      </c>
      <c r="P18" s="15" t="s">
        <v>5</v>
      </c>
      <c r="Q18" s="16" t="s">
        <v>3</v>
      </c>
      <c r="R18" s="15" t="s">
        <v>5</v>
      </c>
      <c r="S18" s="16" t="s">
        <v>3</v>
      </c>
      <c r="T18" s="15" t="s">
        <v>5</v>
      </c>
      <c r="U18" s="16" t="s">
        <v>3</v>
      </c>
      <c r="V18" s="15" t="s">
        <v>5</v>
      </c>
      <c r="W18" s="16" t="s">
        <v>3</v>
      </c>
      <c r="X18" s="15" t="s">
        <v>5</v>
      </c>
      <c r="Y18" s="16" t="s">
        <v>3</v>
      </c>
      <c r="Z18" s="15" t="s">
        <v>5</v>
      </c>
      <c r="AA18" s="16" t="s">
        <v>3</v>
      </c>
      <c r="AB18" s="15" t="s">
        <v>5</v>
      </c>
      <c r="AC18" s="16" t="s">
        <v>3</v>
      </c>
      <c r="AD18" s="15" t="s">
        <v>5</v>
      </c>
      <c r="AE18" s="15" t="s">
        <v>3</v>
      </c>
      <c r="AF18" t="s">
        <v>5</v>
      </c>
      <c r="AG18" t="s">
        <v>3</v>
      </c>
      <c r="AH18" s="15" t="s">
        <v>5</v>
      </c>
      <c r="AI18" s="16" t="s">
        <v>3</v>
      </c>
      <c r="AK18" s="16"/>
      <c r="AL18" s="15" t="s">
        <v>5</v>
      </c>
      <c r="AM18" s="16" t="s">
        <v>3</v>
      </c>
      <c r="AN18" s="15" t="s">
        <v>5</v>
      </c>
      <c r="AO18" s="16" t="s">
        <v>3</v>
      </c>
      <c r="AP18" s="15" t="s">
        <v>5</v>
      </c>
      <c r="AQ18" s="16" t="s">
        <v>3</v>
      </c>
      <c r="AR18" s="15" t="s">
        <v>5</v>
      </c>
      <c r="AS18" s="16" t="s">
        <v>3</v>
      </c>
      <c r="AT18" s="15" t="s">
        <v>5</v>
      </c>
      <c r="AU18" s="16" t="s">
        <v>3</v>
      </c>
      <c r="AV18" s="15" t="s">
        <v>5</v>
      </c>
      <c r="AW18" s="16" t="s">
        <v>3</v>
      </c>
      <c r="AX18" s="15" t="s">
        <v>5</v>
      </c>
      <c r="AY18" s="16" t="s">
        <v>3</v>
      </c>
      <c r="BA18">
        <v>57</v>
      </c>
      <c r="BB18">
        <v>57</v>
      </c>
      <c r="BC18"/>
      <c r="BD18">
        <v>1</v>
      </c>
      <c r="BE18" t="s">
        <v>1</v>
      </c>
      <c r="BF18" t="s">
        <v>1</v>
      </c>
      <c r="BG18">
        <v>27.03</v>
      </c>
      <c r="BH18">
        <v>13</v>
      </c>
      <c r="BI18">
        <v>8</v>
      </c>
      <c r="BJ18">
        <v>2</v>
      </c>
      <c r="BK18">
        <v>2</v>
      </c>
      <c r="BR18" s="2"/>
    </row>
    <row r="19" spans="1:70" x14ac:dyDescent="0.55000000000000004">
      <c r="A19" t="s">
        <v>27</v>
      </c>
      <c r="B19">
        <v>18</v>
      </c>
      <c r="C19">
        <v>3</v>
      </c>
      <c r="D19">
        <v>2</v>
      </c>
      <c r="E19" s="2">
        <v>45933</v>
      </c>
      <c r="F19" t="s">
        <v>26</v>
      </c>
      <c r="G19" t="s">
        <v>13</v>
      </c>
      <c r="H19" t="s">
        <v>5</v>
      </c>
      <c r="I19" s="1" t="s">
        <v>3</v>
      </c>
      <c r="J19" t="s">
        <v>5</v>
      </c>
      <c r="K19" s="1" t="s">
        <v>3</v>
      </c>
      <c r="L19" t="s">
        <v>5</v>
      </c>
      <c r="M19" s="1" t="s">
        <v>3</v>
      </c>
      <c r="N19" t="s">
        <v>10</v>
      </c>
      <c r="O19" s="1" t="s">
        <v>3</v>
      </c>
      <c r="P19" t="s">
        <v>10</v>
      </c>
      <c r="Q19" s="1" t="s">
        <v>9</v>
      </c>
      <c r="R19" t="s">
        <v>5</v>
      </c>
      <c r="S19" s="1" t="s">
        <v>3</v>
      </c>
      <c r="T19" t="s">
        <v>5</v>
      </c>
      <c r="U19" s="1" t="s">
        <v>3</v>
      </c>
      <c r="V19" t="s">
        <v>5</v>
      </c>
      <c r="W19" s="1" t="s">
        <v>3</v>
      </c>
      <c r="X19" t="s">
        <v>5</v>
      </c>
      <c r="Y19" s="1" t="s">
        <v>3</v>
      </c>
      <c r="Z19" t="s">
        <v>5</v>
      </c>
      <c r="AA19" s="1" t="s">
        <v>3</v>
      </c>
      <c r="AB19" t="s">
        <v>5</v>
      </c>
      <c r="AC19" s="1" t="s">
        <v>3</v>
      </c>
      <c r="AD19" t="s">
        <v>5</v>
      </c>
      <c r="AE19" t="s">
        <v>3</v>
      </c>
      <c r="AF19" t="s">
        <v>5</v>
      </c>
      <c r="AG19" t="s">
        <v>3</v>
      </c>
      <c r="AH19" t="s">
        <v>5</v>
      </c>
      <c r="AI19" s="1" t="s">
        <v>3</v>
      </c>
      <c r="AK19" s="1"/>
      <c r="AL19" t="s">
        <v>5</v>
      </c>
      <c r="AM19" s="1" t="s">
        <v>3</v>
      </c>
      <c r="AN19" t="s">
        <v>5</v>
      </c>
      <c r="AO19" s="1" t="s">
        <v>3</v>
      </c>
      <c r="AP19" t="s">
        <v>5</v>
      </c>
      <c r="AQ19" s="1" t="s">
        <v>3</v>
      </c>
      <c r="AR19" t="s">
        <v>5</v>
      </c>
      <c r="AS19" s="1" t="s">
        <v>3</v>
      </c>
      <c r="AT19" t="s">
        <v>5</v>
      </c>
      <c r="AU19" s="1" t="s">
        <v>3</v>
      </c>
      <c r="AV19" t="s">
        <v>5</v>
      </c>
      <c r="AW19" s="1" t="s">
        <v>3</v>
      </c>
      <c r="AX19" t="s">
        <v>5</v>
      </c>
      <c r="AY19" s="1" t="s">
        <v>3</v>
      </c>
      <c r="BA19" s="17">
        <v>58</v>
      </c>
      <c r="BB19" s="17">
        <v>58</v>
      </c>
      <c r="BC19" s="17"/>
      <c r="BD19" s="17">
        <v>2</v>
      </c>
      <c r="BE19" s="17" t="s">
        <v>1</v>
      </c>
      <c r="BF19" s="17" t="s">
        <v>1</v>
      </c>
      <c r="BG19" s="17">
        <v>26.88</v>
      </c>
      <c r="BH19" s="17">
        <v>13</v>
      </c>
      <c r="BI19" s="17">
        <v>8</v>
      </c>
      <c r="BJ19" s="17">
        <v>0</v>
      </c>
      <c r="BK19" s="17">
        <v>2</v>
      </c>
      <c r="BR19" s="2"/>
    </row>
    <row r="20" spans="1:70" x14ac:dyDescent="0.55000000000000004">
      <c r="A20" t="s">
        <v>27</v>
      </c>
      <c r="B20">
        <v>19</v>
      </c>
      <c r="C20">
        <v>3</v>
      </c>
      <c r="D20">
        <v>3</v>
      </c>
      <c r="E20" s="2">
        <v>45933</v>
      </c>
      <c r="F20" t="s">
        <v>26</v>
      </c>
      <c r="G20" t="s">
        <v>12</v>
      </c>
      <c r="H20" t="s">
        <v>22</v>
      </c>
      <c r="I20" s="1" t="s">
        <v>3</v>
      </c>
      <c r="J20" t="s">
        <v>4</v>
      </c>
      <c r="K20" s="1" t="s">
        <v>3</v>
      </c>
      <c r="L20" t="s">
        <v>5</v>
      </c>
      <c r="M20" s="1" t="s">
        <v>3</v>
      </c>
      <c r="N20" t="s">
        <v>5</v>
      </c>
      <c r="O20" s="1" t="s">
        <v>3</v>
      </c>
      <c r="P20" t="s">
        <v>5</v>
      </c>
      <c r="Q20" s="1" t="s">
        <v>3</v>
      </c>
      <c r="R20" t="s">
        <v>10</v>
      </c>
      <c r="S20" s="1" t="s">
        <v>9</v>
      </c>
      <c r="T20" t="s">
        <v>5</v>
      </c>
      <c r="U20" s="1" t="s">
        <v>3</v>
      </c>
      <c r="V20" t="s">
        <v>5</v>
      </c>
      <c r="W20" s="1" t="s">
        <v>3</v>
      </c>
      <c r="X20" t="s">
        <v>5</v>
      </c>
      <c r="Y20" s="1" t="s">
        <v>3</v>
      </c>
      <c r="Z20" t="s">
        <v>5</v>
      </c>
      <c r="AA20" s="1" t="s">
        <v>3</v>
      </c>
      <c r="AB20" t="s">
        <v>5</v>
      </c>
      <c r="AC20" s="1" t="s">
        <v>3</v>
      </c>
      <c r="AD20" t="s">
        <v>5</v>
      </c>
      <c r="AE20" t="s">
        <v>3</v>
      </c>
      <c r="AF20" t="s">
        <v>5</v>
      </c>
      <c r="AG20" t="s">
        <v>3</v>
      </c>
      <c r="AH20" t="s">
        <v>5</v>
      </c>
      <c r="AI20" s="1" t="s">
        <v>3</v>
      </c>
      <c r="AK20" s="1"/>
      <c r="AL20" t="s">
        <v>5</v>
      </c>
      <c r="AM20" s="1" t="s">
        <v>3</v>
      </c>
      <c r="AN20" t="s">
        <v>5</v>
      </c>
      <c r="AO20" s="1" t="s">
        <v>3</v>
      </c>
      <c r="AP20" t="s">
        <v>5</v>
      </c>
      <c r="AQ20" s="1" t="s">
        <v>3</v>
      </c>
      <c r="AR20" t="s">
        <v>5</v>
      </c>
      <c r="AS20" s="1" t="s">
        <v>3</v>
      </c>
      <c r="AT20" t="s">
        <v>5</v>
      </c>
      <c r="AU20" s="1" t="s">
        <v>3</v>
      </c>
      <c r="AV20" t="s">
        <v>5</v>
      </c>
      <c r="AW20" s="1" t="s">
        <v>3</v>
      </c>
      <c r="AX20" t="s">
        <v>5</v>
      </c>
      <c r="AY20" s="1" t="s">
        <v>3</v>
      </c>
      <c r="BA20">
        <v>59</v>
      </c>
      <c r="BB20">
        <v>59</v>
      </c>
      <c r="BD20">
        <v>3</v>
      </c>
      <c r="BE20" t="s">
        <v>1</v>
      </c>
      <c r="BF20" t="s">
        <v>1</v>
      </c>
      <c r="BG20">
        <v>27.34</v>
      </c>
      <c r="BH20">
        <v>8</v>
      </c>
      <c r="BI20">
        <v>8</v>
      </c>
      <c r="BJ20">
        <v>1</v>
      </c>
      <c r="BK20">
        <v>2</v>
      </c>
      <c r="BR20" s="2"/>
    </row>
    <row r="21" spans="1:70" x14ac:dyDescent="0.55000000000000004">
      <c r="A21" t="s">
        <v>27</v>
      </c>
      <c r="B21">
        <v>20</v>
      </c>
      <c r="C21">
        <v>3</v>
      </c>
      <c r="D21">
        <v>4</v>
      </c>
      <c r="E21" s="2">
        <v>45933</v>
      </c>
      <c r="F21" t="s">
        <v>26</v>
      </c>
      <c r="G21" t="s">
        <v>6</v>
      </c>
      <c r="H21" t="s">
        <v>22</v>
      </c>
      <c r="I21" s="1" t="s">
        <v>3</v>
      </c>
      <c r="J21" t="s">
        <v>22</v>
      </c>
      <c r="K21" s="1" t="s">
        <v>3</v>
      </c>
      <c r="L21" t="s">
        <v>5</v>
      </c>
      <c r="M21" s="1" t="s">
        <v>3</v>
      </c>
      <c r="N21" t="s">
        <v>5</v>
      </c>
      <c r="O21" s="1" t="s">
        <v>3</v>
      </c>
      <c r="P21" t="s">
        <v>5</v>
      </c>
      <c r="Q21" s="1" t="s">
        <v>3</v>
      </c>
      <c r="R21" t="s">
        <v>5</v>
      </c>
      <c r="S21" s="1" t="s">
        <v>3</v>
      </c>
      <c r="T21" t="s">
        <v>5</v>
      </c>
      <c r="U21" s="1" t="s">
        <v>3</v>
      </c>
      <c r="V21" t="s">
        <v>5</v>
      </c>
      <c r="W21" s="1" t="s">
        <v>3</v>
      </c>
      <c r="X21" t="s">
        <v>5</v>
      </c>
      <c r="Y21" s="1" t="s">
        <v>3</v>
      </c>
      <c r="Z21" t="s">
        <v>5</v>
      </c>
      <c r="AA21" s="1" t="s">
        <v>3</v>
      </c>
      <c r="AB21" t="s">
        <v>5</v>
      </c>
      <c r="AC21" s="1" t="s">
        <v>3</v>
      </c>
      <c r="AD21" t="s">
        <v>5</v>
      </c>
      <c r="AE21" s="1" t="s">
        <v>3</v>
      </c>
      <c r="AF21" t="s">
        <v>5</v>
      </c>
      <c r="AG21" s="1" t="s">
        <v>3</v>
      </c>
      <c r="AH21" t="s">
        <v>5</v>
      </c>
      <c r="AI21" s="1" t="s">
        <v>3</v>
      </c>
      <c r="AK21" s="1"/>
      <c r="AL21" t="s">
        <v>5</v>
      </c>
      <c r="AM21" s="1" t="s">
        <v>3</v>
      </c>
      <c r="AN21" t="s">
        <v>5</v>
      </c>
      <c r="AO21" s="1" t="s">
        <v>3</v>
      </c>
      <c r="AP21" t="s">
        <v>5</v>
      </c>
      <c r="AQ21" s="1" t="s">
        <v>3</v>
      </c>
      <c r="AR21" t="s">
        <v>5</v>
      </c>
      <c r="AS21" s="1" t="s">
        <v>3</v>
      </c>
      <c r="AT21" t="s">
        <v>5</v>
      </c>
      <c r="AU21" s="1" t="s">
        <v>3</v>
      </c>
      <c r="AV21" t="s">
        <v>5</v>
      </c>
      <c r="AW21" s="1" t="s">
        <v>3</v>
      </c>
      <c r="AX21" t="s">
        <v>5</v>
      </c>
      <c r="AY21" s="1" t="s">
        <v>3</v>
      </c>
      <c r="BA21">
        <v>60</v>
      </c>
      <c r="BB21">
        <v>60</v>
      </c>
      <c r="BD21">
        <v>4</v>
      </c>
      <c r="BE21" t="s">
        <v>1</v>
      </c>
      <c r="BF21" t="s">
        <v>1</v>
      </c>
      <c r="BG21">
        <v>29.45</v>
      </c>
      <c r="BH21">
        <v>16</v>
      </c>
      <c r="BI21">
        <v>8</v>
      </c>
      <c r="BJ21">
        <v>2</v>
      </c>
      <c r="BK21">
        <v>2</v>
      </c>
      <c r="BR21" s="2"/>
    </row>
    <row r="22" spans="1:70" x14ac:dyDescent="0.55000000000000004">
      <c r="A22" t="s">
        <v>27</v>
      </c>
      <c r="B22">
        <v>21</v>
      </c>
      <c r="C22">
        <v>3</v>
      </c>
      <c r="D22">
        <v>5</v>
      </c>
      <c r="E22" s="2">
        <v>45933</v>
      </c>
      <c r="F22" t="s">
        <v>26</v>
      </c>
      <c r="G22" t="s">
        <v>13</v>
      </c>
      <c r="H22" t="s">
        <v>5</v>
      </c>
      <c r="I22" s="1" t="s">
        <v>3</v>
      </c>
      <c r="J22" t="s">
        <v>10</v>
      </c>
      <c r="K22" s="1" t="s">
        <v>9</v>
      </c>
      <c r="L22" t="s">
        <v>5</v>
      </c>
      <c r="M22" s="1" t="s">
        <v>3</v>
      </c>
      <c r="N22" t="s">
        <v>10</v>
      </c>
      <c r="O22" s="1" t="s">
        <v>9</v>
      </c>
      <c r="P22" t="s">
        <v>10</v>
      </c>
      <c r="Q22" s="1" t="s">
        <v>9</v>
      </c>
      <c r="R22" t="s">
        <v>10</v>
      </c>
      <c r="S22" s="1" t="s">
        <v>9</v>
      </c>
      <c r="T22" t="s">
        <v>10</v>
      </c>
      <c r="U22" s="1" t="s">
        <v>9</v>
      </c>
      <c r="V22" t="s">
        <v>10</v>
      </c>
      <c r="W22" s="1" t="s">
        <v>9</v>
      </c>
      <c r="X22" t="s">
        <v>10</v>
      </c>
      <c r="Y22" s="1" t="s">
        <v>9</v>
      </c>
      <c r="Z22" t="s">
        <v>10</v>
      </c>
      <c r="AA22" s="1" t="s">
        <v>9</v>
      </c>
      <c r="AB22" t="s">
        <v>10</v>
      </c>
      <c r="AC22" s="1" t="s">
        <v>9</v>
      </c>
      <c r="AD22" t="s">
        <v>10</v>
      </c>
      <c r="AE22" s="1" t="s">
        <v>9</v>
      </c>
      <c r="AF22" t="s">
        <v>10</v>
      </c>
      <c r="AG22" s="1" t="s">
        <v>9</v>
      </c>
      <c r="AH22" t="s">
        <v>10</v>
      </c>
      <c r="AI22" s="1" t="s">
        <v>9</v>
      </c>
      <c r="AK22" s="1"/>
      <c r="AL22" t="s">
        <v>10</v>
      </c>
      <c r="AM22" s="1" t="s">
        <v>9</v>
      </c>
      <c r="AN22" t="s">
        <v>10</v>
      </c>
      <c r="AO22" s="1" t="s">
        <v>9</v>
      </c>
      <c r="AP22" t="s">
        <v>10</v>
      </c>
      <c r="AQ22" s="1" t="s">
        <v>9</v>
      </c>
      <c r="AR22" t="s">
        <v>10</v>
      </c>
      <c r="AS22" s="1" t="s">
        <v>9</v>
      </c>
      <c r="AT22" t="s">
        <v>23</v>
      </c>
      <c r="AU22" s="1" t="s">
        <v>3</v>
      </c>
      <c r="AV22" t="s">
        <v>10</v>
      </c>
      <c r="AW22" s="1" t="s">
        <v>9</v>
      </c>
      <c r="AX22" t="s">
        <v>23</v>
      </c>
      <c r="AY22" s="1" t="s">
        <v>3</v>
      </c>
      <c r="BA22">
        <v>61</v>
      </c>
      <c r="BB22">
        <v>61</v>
      </c>
      <c r="BD22">
        <v>5</v>
      </c>
      <c r="BE22" t="s">
        <v>1</v>
      </c>
      <c r="BF22" t="s">
        <v>1</v>
      </c>
      <c r="BG22">
        <v>26.72</v>
      </c>
      <c r="BH22">
        <v>9</v>
      </c>
      <c r="BI22">
        <v>8</v>
      </c>
      <c r="BJ22">
        <v>2</v>
      </c>
      <c r="BK22">
        <v>2</v>
      </c>
      <c r="BR22" s="2"/>
    </row>
    <row r="23" spans="1:70" x14ac:dyDescent="0.55000000000000004">
      <c r="A23" t="s">
        <v>27</v>
      </c>
      <c r="B23">
        <v>22</v>
      </c>
      <c r="C23">
        <v>3</v>
      </c>
      <c r="D23">
        <v>6</v>
      </c>
      <c r="E23" s="2">
        <v>45933</v>
      </c>
      <c r="F23" t="s">
        <v>26</v>
      </c>
      <c r="G23" t="s">
        <v>12</v>
      </c>
      <c r="H23" t="s">
        <v>10</v>
      </c>
      <c r="I23" s="1" t="s">
        <v>3</v>
      </c>
      <c r="J23" t="s">
        <v>10</v>
      </c>
      <c r="K23" s="1" t="s">
        <v>9</v>
      </c>
      <c r="L23" t="s">
        <v>10</v>
      </c>
      <c r="M23" s="1" t="s">
        <v>9</v>
      </c>
      <c r="N23" t="s">
        <v>10</v>
      </c>
      <c r="O23" s="1" t="s">
        <v>9</v>
      </c>
      <c r="P23" t="s">
        <v>10</v>
      </c>
      <c r="Q23" s="1" t="s">
        <v>9</v>
      </c>
      <c r="R23" t="s">
        <v>10</v>
      </c>
      <c r="S23" s="1" t="s">
        <v>9</v>
      </c>
      <c r="T23" t="s">
        <v>10</v>
      </c>
      <c r="U23" s="1" t="s">
        <v>9</v>
      </c>
      <c r="V23" t="s">
        <v>10</v>
      </c>
      <c r="W23" s="1" t="s">
        <v>9</v>
      </c>
      <c r="X23" t="s">
        <v>10</v>
      </c>
      <c r="Y23" s="1" t="s">
        <v>9</v>
      </c>
      <c r="Z23" t="s">
        <v>10</v>
      </c>
      <c r="AA23" s="1" t="s">
        <v>9</v>
      </c>
      <c r="AB23" t="s">
        <v>10</v>
      </c>
      <c r="AC23" s="1" t="s">
        <v>9</v>
      </c>
      <c r="AD23" t="s">
        <v>10</v>
      </c>
      <c r="AE23" s="1" t="s">
        <v>9</v>
      </c>
      <c r="AF23" t="s">
        <v>10</v>
      </c>
      <c r="AG23" s="1" t="s">
        <v>9</v>
      </c>
      <c r="AH23" t="s">
        <v>10</v>
      </c>
      <c r="AI23" s="1" t="s">
        <v>9</v>
      </c>
      <c r="AK23" s="1"/>
      <c r="AL23" t="s">
        <v>10</v>
      </c>
      <c r="AM23" s="1" t="s">
        <v>9</v>
      </c>
      <c r="AN23" t="s">
        <v>10</v>
      </c>
      <c r="AO23" s="1" t="s">
        <v>3</v>
      </c>
      <c r="AP23" t="s">
        <v>10</v>
      </c>
      <c r="AQ23" s="1" t="s">
        <v>3</v>
      </c>
      <c r="AR23" t="s">
        <v>4</v>
      </c>
      <c r="AS23" s="1" t="s">
        <v>11</v>
      </c>
      <c r="AT23" t="s">
        <v>10</v>
      </c>
      <c r="AU23" s="1" t="s">
        <v>9</v>
      </c>
      <c r="AV23" t="s">
        <v>10</v>
      </c>
      <c r="AW23" s="1" t="s">
        <v>9</v>
      </c>
      <c r="AX23" t="s">
        <v>10</v>
      </c>
      <c r="AY23" s="1" t="s">
        <v>9</v>
      </c>
      <c r="BA23">
        <v>46</v>
      </c>
      <c r="BB23">
        <v>62</v>
      </c>
      <c r="BC23">
        <v>12</v>
      </c>
      <c r="BD23">
        <v>6</v>
      </c>
      <c r="BE23" t="s">
        <v>1</v>
      </c>
      <c r="BF23" t="s">
        <v>1</v>
      </c>
      <c r="BG23">
        <v>25.61</v>
      </c>
      <c r="BH23">
        <v>11</v>
      </c>
      <c r="BI23">
        <v>8</v>
      </c>
      <c r="BJ23">
        <v>2</v>
      </c>
      <c r="BK23">
        <v>2</v>
      </c>
      <c r="BR23" s="2"/>
    </row>
    <row r="24" spans="1:70" x14ac:dyDescent="0.55000000000000004">
      <c r="A24" t="s">
        <v>27</v>
      </c>
      <c r="B24">
        <v>23</v>
      </c>
      <c r="C24">
        <v>3</v>
      </c>
      <c r="D24">
        <v>7</v>
      </c>
      <c r="E24" s="2">
        <v>45933</v>
      </c>
      <c r="F24" t="s">
        <v>26</v>
      </c>
      <c r="G24" t="s">
        <v>6</v>
      </c>
      <c r="H24" t="s">
        <v>5</v>
      </c>
      <c r="I24" s="1" t="s">
        <v>3</v>
      </c>
      <c r="J24" t="s">
        <v>10</v>
      </c>
      <c r="K24" s="1" t="s">
        <v>3</v>
      </c>
      <c r="L24" t="s">
        <v>10</v>
      </c>
      <c r="M24" s="1" t="s">
        <v>9</v>
      </c>
      <c r="N24" t="s">
        <v>4</v>
      </c>
      <c r="O24" s="1" t="s">
        <v>3</v>
      </c>
      <c r="P24" t="s">
        <v>4</v>
      </c>
      <c r="Q24" s="1" t="s">
        <v>3</v>
      </c>
      <c r="R24" t="s">
        <v>10</v>
      </c>
      <c r="S24" s="1" t="s">
        <v>3</v>
      </c>
      <c r="T24" t="s">
        <v>21</v>
      </c>
      <c r="U24" s="1" t="s">
        <v>3</v>
      </c>
      <c r="V24" t="s">
        <v>21</v>
      </c>
      <c r="W24" s="1" t="s">
        <v>11</v>
      </c>
      <c r="X24" t="s">
        <v>4</v>
      </c>
      <c r="Y24" s="1" t="s">
        <v>3</v>
      </c>
      <c r="Z24" t="s">
        <v>4</v>
      </c>
      <c r="AA24" s="1" t="s">
        <v>3</v>
      </c>
      <c r="AB24" t="s">
        <v>22</v>
      </c>
      <c r="AC24" s="1" t="s">
        <v>3</v>
      </c>
      <c r="AD24" t="s">
        <v>4</v>
      </c>
      <c r="AE24" s="1" t="s">
        <v>3</v>
      </c>
      <c r="AF24" t="s">
        <v>10</v>
      </c>
      <c r="AG24" s="1" t="s">
        <v>3</v>
      </c>
      <c r="AH24" t="s">
        <v>10</v>
      </c>
      <c r="AI24" s="1" t="s">
        <v>9</v>
      </c>
      <c r="AK24" s="1"/>
      <c r="AL24" t="s">
        <v>10</v>
      </c>
      <c r="AM24" s="1" t="s">
        <v>9</v>
      </c>
      <c r="AN24" t="s">
        <v>10</v>
      </c>
      <c r="AO24" s="1" t="s">
        <v>9</v>
      </c>
      <c r="AP24" t="s">
        <v>10</v>
      </c>
      <c r="AQ24" s="1" t="s">
        <v>9</v>
      </c>
      <c r="AR24" t="s">
        <v>10</v>
      </c>
      <c r="AS24" s="1" t="s">
        <v>9</v>
      </c>
      <c r="AT24" t="s">
        <v>10</v>
      </c>
      <c r="AU24" s="1" t="s">
        <v>9</v>
      </c>
      <c r="AV24" t="s">
        <v>22</v>
      </c>
      <c r="AW24" s="1" t="s">
        <v>3</v>
      </c>
      <c r="AX24" t="s">
        <v>10</v>
      </c>
      <c r="AY24" s="1" t="s">
        <v>9</v>
      </c>
      <c r="AZ24" t="s">
        <v>28</v>
      </c>
      <c r="BA24">
        <v>63</v>
      </c>
      <c r="BB24">
        <v>63</v>
      </c>
      <c r="BD24">
        <v>7</v>
      </c>
      <c r="BE24" t="s">
        <v>1</v>
      </c>
      <c r="BF24" t="s">
        <v>1</v>
      </c>
      <c r="BG24">
        <v>23.58</v>
      </c>
      <c r="BH24">
        <v>10</v>
      </c>
      <c r="BI24">
        <v>8</v>
      </c>
      <c r="BJ24">
        <v>1</v>
      </c>
      <c r="BK24">
        <v>2</v>
      </c>
      <c r="BR24" s="2"/>
    </row>
    <row r="25" spans="1:70" x14ac:dyDescent="0.55000000000000004">
      <c r="A25" t="s">
        <v>27</v>
      </c>
      <c r="B25">
        <v>24</v>
      </c>
      <c r="C25">
        <v>3</v>
      </c>
      <c r="D25">
        <v>8</v>
      </c>
      <c r="E25" s="2">
        <v>45933</v>
      </c>
      <c r="F25" t="s">
        <v>26</v>
      </c>
      <c r="G25" t="s">
        <v>13</v>
      </c>
      <c r="H25" t="s">
        <v>22</v>
      </c>
      <c r="I25" s="1" t="s">
        <v>3</v>
      </c>
      <c r="J25" t="s">
        <v>21</v>
      </c>
      <c r="K25" s="1" t="s">
        <v>3</v>
      </c>
      <c r="L25" t="s">
        <v>21</v>
      </c>
      <c r="M25" s="1" t="s">
        <v>3</v>
      </c>
      <c r="N25" t="s">
        <v>23</v>
      </c>
      <c r="O25" s="1" t="s">
        <v>3</v>
      </c>
      <c r="P25" t="s">
        <v>10</v>
      </c>
      <c r="Q25" s="1" t="s">
        <v>9</v>
      </c>
      <c r="R25" t="s">
        <v>4</v>
      </c>
      <c r="S25" s="1" t="s">
        <v>3</v>
      </c>
      <c r="T25" t="s">
        <v>4</v>
      </c>
      <c r="U25" s="1" t="s">
        <v>3</v>
      </c>
      <c r="V25" t="s">
        <v>4</v>
      </c>
      <c r="W25" s="1" t="s">
        <v>3</v>
      </c>
      <c r="X25" t="s">
        <v>4</v>
      </c>
      <c r="Y25" s="1" t="s">
        <v>3</v>
      </c>
      <c r="Z25" t="s">
        <v>21</v>
      </c>
      <c r="AA25" s="1" t="s">
        <v>11</v>
      </c>
      <c r="AB25" t="s">
        <v>22</v>
      </c>
      <c r="AC25" s="1" t="s">
        <v>3</v>
      </c>
      <c r="AD25" t="s">
        <v>5</v>
      </c>
      <c r="AE25" s="1" t="s">
        <v>3</v>
      </c>
      <c r="AF25" t="s">
        <v>5</v>
      </c>
      <c r="AG25" s="1" t="s">
        <v>3</v>
      </c>
      <c r="AH25" t="s">
        <v>5</v>
      </c>
      <c r="AI25" s="1" t="s">
        <v>3</v>
      </c>
      <c r="AK25" s="1"/>
      <c r="AL25" t="s">
        <v>5</v>
      </c>
      <c r="AM25" s="1" t="s">
        <v>3</v>
      </c>
      <c r="AN25" t="s">
        <v>10</v>
      </c>
      <c r="AO25" s="1" t="s">
        <v>9</v>
      </c>
      <c r="AP25" t="s">
        <v>22</v>
      </c>
      <c r="AQ25" s="1" t="s">
        <v>3</v>
      </c>
      <c r="AR25" t="s">
        <v>5</v>
      </c>
      <c r="AS25" s="1" t="s">
        <v>3</v>
      </c>
      <c r="AT25" t="s">
        <v>23</v>
      </c>
      <c r="AU25" s="1" t="s">
        <v>3</v>
      </c>
      <c r="AV25" t="s">
        <v>23</v>
      </c>
      <c r="AW25" s="1" t="s">
        <v>3</v>
      </c>
      <c r="AX25" t="s">
        <v>23</v>
      </c>
      <c r="AY25" s="1" t="s">
        <v>3</v>
      </c>
      <c r="BA25">
        <v>43</v>
      </c>
      <c r="BB25">
        <v>64</v>
      </c>
      <c r="BC25">
        <v>5</v>
      </c>
      <c r="BD25">
        <v>8</v>
      </c>
      <c r="BE25" t="s">
        <v>1</v>
      </c>
      <c r="BF25" t="s">
        <v>1</v>
      </c>
      <c r="BG25">
        <v>24.67</v>
      </c>
      <c r="BH25">
        <v>9</v>
      </c>
      <c r="BI25">
        <v>8</v>
      </c>
      <c r="BJ25">
        <v>1</v>
      </c>
      <c r="BK25">
        <v>2</v>
      </c>
      <c r="BR25" s="2"/>
    </row>
    <row r="26" spans="1:70" s="15" customFormat="1" x14ac:dyDescent="0.55000000000000004">
      <c r="A26" t="s">
        <v>27</v>
      </c>
      <c r="B26">
        <v>25</v>
      </c>
      <c r="C26">
        <v>4</v>
      </c>
      <c r="D26">
        <v>1</v>
      </c>
      <c r="E26" s="2">
        <v>45936</v>
      </c>
      <c r="F26" t="s">
        <v>26</v>
      </c>
      <c r="G26" t="s">
        <v>12</v>
      </c>
      <c r="H26" s="15" t="s">
        <v>22</v>
      </c>
      <c r="I26" s="16" t="s">
        <v>3</v>
      </c>
      <c r="J26" s="15" t="s">
        <v>5</v>
      </c>
      <c r="K26" s="16" t="s">
        <v>3</v>
      </c>
      <c r="L26" s="15" t="s">
        <v>5</v>
      </c>
      <c r="M26" s="16" t="s">
        <v>3</v>
      </c>
      <c r="N26" s="15" t="s">
        <v>5</v>
      </c>
      <c r="O26" s="16" t="s">
        <v>3</v>
      </c>
      <c r="P26" s="15" t="s">
        <v>5</v>
      </c>
      <c r="Q26" s="16" t="s">
        <v>3</v>
      </c>
      <c r="R26" s="15" t="s">
        <v>5</v>
      </c>
      <c r="S26" s="16" t="s">
        <v>3</v>
      </c>
      <c r="T26" s="15" t="s">
        <v>5</v>
      </c>
      <c r="U26" s="16" t="s">
        <v>3</v>
      </c>
      <c r="V26" s="15" t="s">
        <v>5</v>
      </c>
      <c r="W26" s="16" t="s">
        <v>3</v>
      </c>
      <c r="X26" s="15" t="s">
        <v>5</v>
      </c>
      <c r="Y26" s="16" t="s">
        <v>3</v>
      </c>
      <c r="Z26" s="15" t="s">
        <v>5</v>
      </c>
      <c r="AA26" s="16" t="s">
        <v>3</v>
      </c>
      <c r="AB26" s="15" t="s">
        <v>5</v>
      </c>
      <c r="AC26" s="16" t="s">
        <v>3</v>
      </c>
      <c r="AD26" s="15" t="s">
        <v>5</v>
      </c>
      <c r="AE26" s="16" t="s">
        <v>3</v>
      </c>
      <c r="AF26" s="15" t="s">
        <v>5</v>
      </c>
      <c r="AG26" s="16" t="s">
        <v>3</v>
      </c>
      <c r="AH26" s="15" t="s">
        <v>5</v>
      </c>
      <c r="AI26" s="16" t="s">
        <v>3</v>
      </c>
      <c r="AK26" s="16"/>
      <c r="AL26" s="15" t="s">
        <v>5</v>
      </c>
      <c r="AM26" s="16" t="s">
        <v>3</v>
      </c>
      <c r="AN26" s="15" t="s">
        <v>5</v>
      </c>
      <c r="AO26" s="16" t="s">
        <v>3</v>
      </c>
      <c r="AP26" s="15" t="s">
        <v>5</v>
      </c>
      <c r="AQ26" s="16" t="s">
        <v>3</v>
      </c>
      <c r="AR26" s="15" t="s">
        <v>5</v>
      </c>
      <c r="AS26" s="16" t="s">
        <v>3</v>
      </c>
      <c r="AT26" s="15" t="s">
        <v>5</v>
      </c>
      <c r="AU26" s="16" t="s">
        <v>3</v>
      </c>
      <c r="AV26" s="15" t="s">
        <v>5</v>
      </c>
      <c r="AW26" s="16" t="s">
        <v>3</v>
      </c>
      <c r="AX26" s="15" t="s">
        <v>5</v>
      </c>
      <c r="AY26" s="16" t="s">
        <v>3</v>
      </c>
      <c r="BA26">
        <v>65</v>
      </c>
      <c r="BB26">
        <v>65</v>
      </c>
      <c r="BC26"/>
      <c r="BD26">
        <v>9</v>
      </c>
      <c r="BE26" t="s">
        <v>1</v>
      </c>
      <c r="BF26" t="s">
        <v>1</v>
      </c>
      <c r="BG26">
        <v>26.79</v>
      </c>
      <c r="BH26">
        <v>11</v>
      </c>
      <c r="BI26">
        <v>6</v>
      </c>
      <c r="BJ26">
        <v>0</v>
      </c>
      <c r="BK26">
        <v>2</v>
      </c>
      <c r="BR26" s="2"/>
    </row>
    <row r="27" spans="1:70" x14ac:dyDescent="0.55000000000000004">
      <c r="A27" t="s">
        <v>27</v>
      </c>
      <c r="B27">
        <v>26</v>
      </c>
      <c r="C27">
        <v>4</v>
      </c>
      <c r="D27">
        <v>2</v>
      </c>
      <c r="E27" s="2">
        <v>45936</v>
      </c>
      <c r="F27" t="s">
        <v>26</v>
      </c>
      <c r="G27" t="s">
        <v>6</v>
      </c>
      <c r="H27" t="s">
        <v>4</v>
      </c>
      <c r="I27" s="1" t="s">
        <v>3</v>
      </c>
      <c r="J27" t="s">
        <v>10</v>
      </c>
      <c r="K27" s="1" t="s">
        <v>9</v>
      </c>
      <c r="L27" t="s">
        <v>10</v>
      </c>
      <c r="M27" s="1" t="s">
        <v>9</v>
      </c>
      <c r="N27" t="s">
        <v>10</v>
      </c>
      <c r="O27" s="1" t="s">
        <v>9</v>
      </c>
      <c r="P27" t="s">
        <v>10</v>
      </c>
      <c r="Q27" s="1" t="s">
        <v>9</v>
      </c>
      <c r="R27" t="s">
        <v>10</v>
      </c>
      <c r="S27" s="1" t="s">
        <v>9</v>
      </c>
      <c r="T27" t="s">
        <v>4</v>
      </c>
      <c r="U27" s="1" t="s">
        <v>3</v>
      </c>
      <c r="V27" t="s">
        <v>4</v>
      </c>
      <c r="W27" s="1" t="s">
        <v>3</v>
      </c>
      <c r="X27" t="s">
        <v>4</v>
      </c>
      <c r="Y27" s="1" t="s">
        <v>3</v>
      </c>
      <c r="Z27" t="s">
        <v>4</v>
      </c>
      <c r="AA27" s="1" t="s">
        <v>3</v>
      </c>
      <c r="AB27" t="s">
        <v>4</v>
      </c>
      <c r="AC27" s="1" t="s">
        <v>3</v>
      </c>
      <c r="AD27" t="s">
        <v>10</v>
      </c>
      <c r="AE27" s="1" t="s">
        <v>9</v>
      </c>
      <c r="AF27" t="s">
        <v>23</v>
      </c>
      <c r="AG27" s="1" t="s">
        <v>3</v>
      </c>
      <c r="AH27" t="s">
        <v>10</v>
      </c>
      <c r="AI27" s="1" t="s">
        <v>3</v>
      </c>
      <c r="AK27" s="1"/>
      <c r="AL27" t="s">
        <v>10</v>
      </c>
      <c r="AM27" s="1" t="s">
        <v>9</v>
      </c>
      <c r="AN27" t="s">
        <v>10</v>
      </c>
      <c r="AO27" s="1" t="s">
        <v>9</v>
      </c>
      <c r="AP27" t="s">
        <v>10</v>
      </c>
      <c r="AQ27" s="1" t="s">
        <v>9</v>
      </c>
      <c r="AR27" t="s">
        <v>10</v>
      </c>
      <c r="AS27" s="1" t="s">
        <v>9</v>
      </c>
      <c r="AT27" t="s">
        <v>10</v>
      </c>
      <c r="AU27" s="1" t="s">
        <v>9</v>
      </c>
      <c r="AV27" t="s">
        <v>10</v>
      </c>
      <c r="AW27" s="1" t="s">
        <v>9</v>
      </c>
      <c r="AX27" t="s">
        <v>10</v>
      </c>
      <c r="AY27" s="1" t="s">
        <v>9</v>
      </c>
      <c r="BA27">
        <v>66</v>
      </c>
      <c r="BB27">
        <v>66</v>
      </c>
      <c r="BD27">
        <v>10</v>
      </c>
      <c r="BE27" t="s">
        <v>1</v>
      </c>
      <c r="BF27" t="s">
        <v>1</v>
      </c>
      <c r="BG27">
        <v>26.79</v>
      </c>
      <c r="BH27">
        <v>12</v>
      </c>
      <c r="BI27">
        <v>8</v>
      </c>
      <c r="BJ27">
        <v>2</v>
      </c>
      <c r="BK27">
        <v>2</v>
      </c>
      <c r="BR27" s="2"/>
    </row>
    <row r="28" spans="1:70" x14ac:dyDescent="0.55000000000000004">
      <c r="A28" t="s">
        <v>27</v>
      </c>
      <c r="B28">
        <v>27</v>
      </c>
      <c r="C28">
        <v>4</v>
      </c>
      <c r="D28">
        <v>3</v>
      </c>
      <c r="E28" s="2">
        <v>45936</v>
      </c>
      <c r="F28" t="s">
        <v>26</v>
      </c>
      <c r="G28" t="s">
        <v>13</v>
      </c>
      <c r="H28" t="s">
        <v>5</v>
      </c>
      <c r="I28" s="1" t="s">
        <v>3</v>
      </c>
      <c r="J28" t="s">
        <v>5</v>
      </c>
      <c r="K28" s="1" t="s">
        <v>3</v>
      </c>
      <c r="L28" t="s">
        <v>5</v>
      </c>
      <c r="M28" s="1" t="s">
        <v>3</v>
      </c>
      <c r="N28" t="s">
        <v>5</v>
      </c>
      <c r="O28" s="1" t="s">
        <v>3</v>
      </c>
      <c r="P28" t="s">
        <v>5</v>
      </c>
      <c r="Q28" s="1" t="s">
        <v>3</v>
      </c>
      <c r="R28" t="s">
        <v>5</v>
      </c>
      <c r="S28" s="1" t="s">
        <v>3</v>
      </c>
      <c r="T28" t="s">
        <v>5</v>
      </c>
      <c r="U28" s="1" t="s">
        <v>3</v>
      </c>
      <c r="V28" t="s">
        <v>5</v>
      </c>
      <c r="W28" s="1" t="s">
        <v>3</v>
      </c>
      <c r="X28" t="s">
        <v>5</v>
      </c>
      <c r="Y28" s="1" t="s">
        <v>3</v>
      </c>
      <c r="Z28" t="s">
        <v>5</v>
      </c>
      <c r="AA28" s="1" t="s">
        <v>3</v>
      </c>
      <c r="AB28" t="s">
        <v>5</v>
      </c>
      <c r="AC28" s="1" t="s">
        <v>3</v>
      </c>
      <c r="AD28" t="s">
        <v>5</v>
      </c>
      <c r="AE28" s="1" t="s">
        <v>3</v>
      </c>
      <c r="AF28" t="s">
        <v>5</v>
      </c>
      <c r="AG28" s="1" t="s">
        <v>3</v>
      </c>
      <c r="AH28" t="s">
        <v>5</v>
      </c>
      <c r="AI28" s="1" t="s">
        <v>3</v>
      </c>
      <c r="AK28" s="1"/>
      <c r="AL28" t="s">
        <v>5</v>
      </c>
      <c r="AM28" s="1" t="s">
        <v>3</v>
      </c>
      <c r="AN28" t="s">
        <v>23</v>
      </c>
      <c r="AO28" s="1" t="s">
        <v>3</v>
      </c>
      <c r="AP28" t="s">
        <v>5</v>
      </c>
      <c r="AQ28" s="1" t="s">
        <v>3</v>
      </c>
      <c r="AR28" t="s">
        <v>5</v>
      </c>
      <c r="AS28" s="1" t="s">
        <v>3</v>
      </c>
      <c r="AT28" t="s">
        <v>5</v>
      </c>
      <c r="AU28" s="1" t="s">
        <v>3</v>
      </c>
      <c r="AV28" t="s">
        <v>5</v>
      </c>
      <c r="AW28" s="1" t="s">
        <v>3</v>
      </c>
      <c r="AX28" t="s">
        <v>5</v>
      </c>
      <c r="AY28" s="1" t="s">
        <v>3</v>
      </c>
      <c r="BA28">
        <v>67</v>
      </c>
      <c r="BB28">
        <v>67</v>
      </c>
      <c r="BD28">
        <v>11</v>
      </c>
      <c r="BE28" t="s">
        <v>1</v>
      </c>
      <c r="BF28" t="s">
        <v>1</v>
      </c>
      <c r="BG28">
        <v>25.21</v>
      </c>
      <c r="BH28">
        <v>9</v>
      </c>
      <c r="BI28">
        <v>6</v>
      </c>
      <c r="BJ28">
        <v>2</v>
      </c>
      <c r="BK28">
        <v>2</v>
      </c>
      <c r="BR28" s="2"/>
    </row>
    <row r="29" spans="1:70" x14ac:dyDescent="0.55000000000000004">
      <c r="A29" t="s">
        <v>27</v>
      </c>
      <c r="B29">
        <v>28</v>
      </c>
      <c r="C29">
        <v>4</v>
      </c>
      <c r="D29">
        <v>4</v>
      </c>
      <c r="E29" s="2">
        <v>45936</v>
      </c>
      <c r="F29" t="s">
        <v>26</v>
      </c>
      <c r="G29" t="s">
        <v>12</v>
      </c>
      <c r="H29" t="s">
        <v>22</v>
      </c>
      <c r="I29" s="1" t="s">
        <v>3</v>
      </c>
      <c r="J29" t="s">
        <v>10</v>
      </c>
      <c r="K29" s="1" t="s">
        <v>3</v>
      </c>
      <c r="L29" t="s">
        <v>10</v>
      </c>
      <c r="M29" s="1" t="s">
        <v>3</v>
      </c>
      <c r="N29" t="s">
        <v>4</v>
      </c>
      <c r="O29" s="1" t="s">
        <v>3</v>
      </c>
      <c r="P29" t="s">
        <v>10</v>
      </c>
      <c r="Q29" s="1" t="s">
        <v>9</v>
      </c>
      <c r="R29" t="s">
        <v>10</v>
      </c>
      <c r="S29" s="1" t="s">
        <v>3</v>
      </c>
      <c r="T29" t="s">
        <v>10</v>
      </c>
      <c r="U29" s="1" t="s">
        <v>9</v>
      </c>
      <c r="V29" t="s">
        <v>10</v>
      </c>
      <c r="W29" s="1" t="s">
        <v>9</v>
      </c>
      <c r="X29" t="s">
        <v>10</v>
      </c>
      <c r="Y29" s="1" t="s">
        <v>9</v>
      </c>
      <c r="Z29" t="s">
        <v>10</v>
      </c>
      <c r="AA29" s="1" t="s">
        <v>9</v>
      </c>
      <c r="AB29" t="s">
        <v>4</v>
      </c>
      <c r="AC29" s="1" t="s">
        <v>3</v>
      </c>
      <c r="AD29" t="s">
        <v>22</v>
      </c>
      <c r="AE29" s="1" t="s">
        <v>3</v>
      </c>
      <c r="AF29" t="s">
        <v>10</v>
      </c>
      <c r="AG29" s="1" t="s">
        <v>9</v>
      </c>
      <c r="AH29" t="s">
        <v>10</v>
      </c>
      <c r="AI29" s="1" t="s">
        <v>9</v>
      </c>
      <c r="AK29" s="1"/>
      <c r="AL29" t="s">
        <v>10</v>
      </c>
      <c r="AM29" s="1" t="s">
        <v>3</v>
      </c>
      <c r="AN29" t="s">
        <v>10</v>
      </c>
      <c r="AO29" s="1" t="s">
        <v>9</v>
      </c>
      <c r="AP29" t="s">
        <v>10</v>
      </c>
      <c r="AQ29" s="1" t="s">
        <v>9</v>
      </c>
      <c r="AR29" t="s">
        <v>10</v>
      </c>
      <c r="AS29" s="1" t="s">
        <v>9</v>
      </c>
      <c r="AT29" t="s">
        <v>10</v>
      </c>
      <c r="AU29" s="1" t="s">
        <v>9</v>
      </c>
      <c r="AV29" t="s">
        <v>10</v>
      </c>
      <c r="AW29" s="1" t="s">
        <v>3</v>
      </c>
      <c r="AX29" t="s">
        <v>10</v>
      </c>
      <c r="AY29" s="1" t="s">
        <v>3</v>
      </c>
      <c r="BA29">
        <v>68</v>
      </c>
      <c r="BB29">
        <v>68</v>
      </c>
      <c r="BD29">
        <v>12</v>
      </c>
      <c r="BE29" t="s">
        <v>1</v>
      </c>
      <c r="BF29" t="s">
        <v>1</v>
      </c>
      <c r="BG29">
        <v>24.69</v>
      </c>
      <c r="BH29">
        <v>9</v>
      </c>
      <c r="BI29">
        <v>8</v>
      </c>
      <c r="BJ29">
        <v>2</v>
      </c>
      <c r="BK29">
        <v>2</v>
      </c>
      <c r="BR29" s="2"/>
    </row>
    <row r="30" spans="1:70" x14ac:dyDescent="0.55000000000000004">
      <c r="A30" t="s">
        <v>27</v>
      </c>
      <c r="B30">
        <v>29</v>
      </c>
      <c r="C30">
        <v>4</v>
      </c>
      <c r="D30">
        <v>5</v>
      </c>
      <c r="E30" s="2">
        <v>45936</v>
      </c>
      <c r="F30" t="s">
        <v>26</v>
      </c>
      <c r="G30" t="s">
        <v>6</v>
      </c>
      <c r="H30" t="s">
        <v>21</v>
      </c>
      <c r="I30" s="1" t="s">
        <v>11</v>
      </c>
      <c r="J30" t="s">
        <v>22</v>
      </c>
      <c r="K30" s="1" t="s">
        <v>3</v>
      </c>
      <c r="L30" t="s">
        <v>21</v>
      </c>
      <c r="M30" s="1" t="s">
        <v>3</v>
      </c>
      <c r="N30" t="s">
        <v>10</v>
      </c>
      <c r="O30" s="1" t="s">
        <v>9</v>
      </c>
      <c r="P30" t="s">
        <v>10</v>
      </c>
      <c r="Q30" s="1" t="s">
        <v>9</v>
      </c>
      <c r="R30" t="s">
        <v>10</v>
      </c>
      <c r="S30" s="1" t="s">
        <v>9</v>
      </c>
      <c r="T30" t="s">
        <v>10</v>
      </c>
      <c r="U30" s="1" t="s">
        <v>3</v>
      </c>
      <c r="V30" t="s">
        <v>10</v>
      </c>
      <c r="W30" s="1" t="s">
        <v>3</v>
      </c>
      <c r="X30" t="s">
        <v>10</v>
      </c>
      <c r="Y30" s="1" t="s">
        <v>3</v>
      </c>
      <c r="Z30" t="s">
        <v>10</v>
      </c>
      <c r="AA30" s="1" t="s">
        <v>3</v>
      </c>
      <c r="AB30" t="s">
        <v>22</v>
      </c>
      <c r="AC30" s="1" t="s">
        <v>3</v>
      </c>
      <c r="AD30" t="s">
        <v>21</v>
      </c>
      <c r="AE30" s="1" t="s">
        <v>3</v>
      </c>
      <c r="AF30" t="s">
        <v>10</v>
      </c>
      <c r="AG30" s="1" t="s">
        <v>3</v>
      </c>
      <c r="AH30" t="s">
        <v>10</v>
      </c>
      <c r="AI30" s="1" t="s">
        <v>3</v>
      </c>
      <c r="AK30" s="1"/>
      <c r="AL30" t="s">
        <v>5</v>
      </c>
      <c r="AM30" s="1" t="s">
        <v>3</v>
      </c>
      <c r="AN30" t="s">
        <v>5</v>
      </c>
      <c r="AO30" s="1" t="s">
        <v>3</v>
      </c>
      <c r="AP30" t="s">
        <v>5</v>
      </c>
      <c r="AQ30" s="1" t="s">
        <v>3</v>
      </c>
      <c r="AR30" t="s">
        <v>5</v>
      </c>
      <c r="AS30" s="1" t="s">
        <v>3</v>
      </c>
      <c r="AT30" t="s">
        <v>5</v>
      </c>
      <c r="AU30" s="1" t="s">
        <v>3</v>
      </c>
      <c r="AV30" t="s">
        <v>5</v>
      </c>
      <c r="AW30" s="1" t="s">
        <v>3</v>
      </c>
      <c r="AX30" t="s">
        <v>5</v>
      </c>
      <c r="AY30" s="1" t="s">
        <v>3</v>
      </c>
      <c r="BA30">
        <v>69</v>
      </c>
      <c r="BB30">
        <v>69</v>
      </c>
      <c r="BC30">
        <v>33</v>
      </c>
      <c r="BD30">
        <v>13</v>
      </c>
      <c r="BE30" t="s">
        <v>1</v>
      </c>
      <c r="BF30" t="s">
        <v>1</v>
      </c>
      <c r="BG30">
        <v>28.29</v>
      </c>
      <c r="BH30">
        <v>13</v>
      </c>
      <c r="BI30">
        <v>8</v>
      </c>
      <c r="BJ30">
        <v>2</v>
      </c>
      <c r="BK30">
        <v>2</v>
      </c>
      <c r="BR30" s="2"/>
    </row>
    <row r="31" spans="1:70" x14ac:dyDescent="0.55000000000000004">
      <c r="A31" t="s">
        <v>27</v>
      </c>
      <c r="B31">
        <v>30</v>
      </c>
      <c r="C31">
        <v>4</v>
      </c>
      <c r="D31">
        <v>6</v>
      </c>
      <c r="E31" s="2">
        <v>45936</v>
      </c>
      <c r="F31" t="s">
        <v>26</v>
      </c>
      <c r="G31" t="s">
        <v>13</v>
      </c>
      <c r="H31" t="s">
        <v>4</v>
      </c>
      <c r="I31" s="1" t="s">
        <v>3</v>
      </c>
      <c r="J31" t="s">
        <v>22</v>
      </c>
      <c r="K31" s="1" t="s">
        <v>3</v>
      </c>
      <c r="L31" t="s">
        <v>5</v>
      </c>
      <c r="M31" s="1" t="s">
        <v>3</v>
      </c>
      <c r="N31" t="s">
        <v>22</v>
      </c>
      <c r="O31" s="1" t="s">
        <v>3</v>
      </c>
      <c r="P31" t="s">
        <v>10</v>
      </c>
      <c r="Q31" s="1" t="s">
        <v>11</v>
      </c>
      <c r="R31" t="s">
        <v>5</v>
      </c>
      <c r="S31" s="1" t="s">
        <v>3</v>
      </c>
      <c r="T31" t="s">
        <v>5</v>
      </c>
      <c r="U31" s="1" t="s">
        <v>3</v>
      </c>
      <c r="V31" t="s">
        <v>5</v>
      </c>
      <c r="W31" s="1" t="s">
        <v>3</v>
      </c>
      <c r="X31" t="s">
        <v>5</v>
      </c>
      <c r="Y31" s="1" t="s">
        <v>3</v>
      </c>
      <c r="Z31" t="s">
        <v>5</v>
      </c>
      <c r="AA31" s="1" t="s">
        <v>3</v>
      </c>
      <c r="AB31" t="s">
        <v>5</v>
      </c>
      <c r="AC31" s="1" t="s">
        <v>3</v>
      </c>
      <c r="AD31" t="s">
        <v>5</v>
      </c>
      <c r="AE31" s="1" t="s">
        <v>3</v>
      </c>
      <c r="AF31" t="s">
        <v>5</v>
      </c>
      <c r="AG31" s="1" t="s">
        <v>3</v>
      </c>
      <c r="AH31" t="s">
        <v>5</v>
      </c>
      <c r="AI31" s="1" t="s">
        <v>3</v>
      </c>
      <c r="AK31" s="1"/>
      <c r="AL31" t="s">
        <v>5</v>
      </c>
      <c r="AM31" s="1" t="s">
        <v>3</v>
      </c>
      <c r="AN31" t="s">
        <v>5</v>
      </c>
      <c r="AO31" s="1" t="s">
        <v>3</v>
      </c>
      <c r="AP31" t="s">
        <v>5</v>
      </c>
      <c r="AQ31" s="1" t="s">
        <v>3</v>
      </c>
      <c r="AR31" t="s">
        <v>5</v>
      </c>
      <c r="AS31" s="1" t="s">
        <v>3</v>
      </c>
      <c r="AT31" t="s">
        <v>5</v>
      </c>
      <c r="AU31" s="1" t="s">
        <v>3</v>
      </c>
      <c r="AV31" t="s">
        <v>5</v>
      </c>
      <c r="AW31" s="1" t="s">
        <v>3</v>
      </c>
      <c r="AX31" t="s">
        <v>5</v>
      </c>
      <c r="AY31" s="1" t="s">
        <v>3</v>
      </c>
      <c r="BA31">
        <v>70</v>
      </c>
      <c r="BB31">
        <v>70</v>
      </c>
      <c r="BC31">
        <v>70</v>
      </c>
      <c r="BD31">
        <v>14</v>
      </c>
      <c r="BE31" t="s">
        <v>1</v>
      </c>
      <c r="BF31" t="s">
        <v>1</v>
      </c>
      <c r="BG31">
        <v>25.98</v>
      </c>
      <c r="BH31">
        <v>13</v>
      </c>
      <c r="BI31">
        <v>8</v>
      </c>
      <c r="BJ31">
        <v>2</v>
      </c>
      <c r="BK31">
        <v>2</v>
      </c>
      <c r="BR31" s="2"/>
    </row>
    <row r="32" spans="1:70" x14ac:dyDescent="0.55000000000000004">
      <c r="A32" t="s">
        <v>27</v>
      </c>
      <c r="B32">
        <v>31</v>
      </c>
      <c r="C32">
        <v>4</v>
      </c>
      <c r="D32">
        <v>7</v>
      </c>
      <c r="E32" s="2">
        <v>45936</v>
      </c>
      <c r="F32" t="s">
        <v>26</v>
      </c>
      <c r="G32" t="s">
        <v>12</v>
      </c>
      <c r="H32" t="s">
        <v>4</v>
      </c>
      <c r="I32" s="1" t="s">
        <v>3</v>
      </c>
      <c r="J32" t="s">
        <v>4</v>
      </c>
      <c r="K32" s="1" t="s">
        <v>3</v>
      </c>
      <c r="L32" t="s">
        <v>10</v>
      </c>
      <c r="M32" s="1" t="s">
        <v>3</v>
      </c>
      <c r="N32" t="s">
        <v>23</v>
      </c>
      <c r="O32" s="1" t="s">
        <v>3</v>
      </c>
      <c r="P32" t="s">
        <v>10</v>
      </c>
      <c r="Q32" s="1" t="s">
        <v>11</v>
      </c>
      <c r="R32" t="s">
        <v>5</v>
      </c>
      <c r="S32" s="1" t="s">
        <v>3</v>
      </c>
      <c r="T32" t="s">
        <v>5</v>
      </c>
      <c r="U32" s="1" t="s">
        <v>3</v>
      </c>
      <c r="V32" t="s">
        <v>5</v>
      </c>
      <c r="W32" s="1" t="s">
        <v>3</v>
      </c>
      <c r="X32" t="s">
        <v>5</v>
      </c>
      <c r="Y32" s="1" t="s">
        <v>3</v>
      </c>
      <c r="Z32" t="s">
        <v>5</v>
      </c>
      <c r="AA32" s="1" t="s">
        <v>3</v>
      </c>
      <c r="AB32" t="s">
        <v>23</v>
      </c>
      <c r="AC32" s="1" t="s">
        <v>3</v>
      </c>
      <c r="AD32" t="s">
        <v>23</v>
      </c>
      <c r="AE32" s="1" t="s">
        <v>3</v>
      </c>
      <c r="AF32" t="s">
        <v>21</v>
      </c>
      <c r="AG32" s="1" t="s">
        <v>3</v>
      </c>
      <c r="AH32" t="s">
        <v>22</v>
      </c>
      <c r="AI32" s="1" t="s">
        <v>3</v>
      </c>
      <c r="AK32" s="1"/>
      <c r="AL32" t="s">
        <v>5</v>
      </c>
      <c r="AM32" s="1" t="s">
        <v>3</v>
      </c>
      <c r="AN32" t="s">
        <v>5</v>
      </c>
      <c r="AO32" s="1" t="s">
        <v>3</v>
      </c>
      <c r="AP32" t="s">
        <v>5</v>
      </c>
      <c r="AQ32" s="1" t="s">
        <v>3</v>
      </c>
      <c r="AR32" t="s">
        <v>5</v>
      </c>
      <c r="AS32" s="1" t="s">
        <v>3</v>
      </c>
      <c r="AT32" t="s">
        <v>5</v>
      </c>
      <c r="AU32" s="1" t="s">
        <v>3</v>
      </c>
      <c r="AV32" t="s">
        <v>5</v>
      </c>
      <c r="AW32" s="1" t="s">
        <v>3</v>
      </c>
      <c r="AX32" t="s">
        <v>5</v>
      </c>
      <c r="AY32" s="1" t="s">
        <v>3</v>
      </c>
      <c r="BA32">
        <v>71</v>
      </c>
      <c r="BB32">
        <v>71</v>
      </c>
      <c r="BC32">
        <v>51</v>
      </c>
      <c r="BD32">
        <v>15</v>
      </c>
      <c r="BE32" t="s">
        <v>1</v>
      </c>
      <c r="BF32" t="s">
        <v>1</v>
      </c>
      <c r="BG32">
        <v>26.79</v>
      </c>
      <c r="BH32">
        <v>10</v>
      </c>
      <c r="BI32">
        <v>7</v>
      </c>
      <c r="BJ32">
        <v>0</v>
      </c>
      <c r="BK32">
        <v>2</v>
      </c>
      <c r="BR32" s="2"/>
    </row>
    <row r="33" spans="1:70" x14ac:dyDescent="0.55000000000000004">
      <c r="A33" t="s">
        <v>27</v>
      </c>
      <c r="B33">
        <v>32</v>
      </c>
      <c r="C33">
        <v>4</v>
      </c>
      <c r="D33">
        <v>8</v>
      </c>
      <c r="E33" s="2">
        <v>45936</v>
      </c>
      <c r="F33" t="s">
        <v>26</v>
      </c>
      <c r="G33" t="s">
        <v>6</v>
      </c>
      <c r="H33" t="s">
        <v>21</v>
      </c>
      <c r="I33" s="1" t="s">
        <v>3</v>
      </c>
      <c r="J33" t="s">
        <v>22</v>
      </c>
      <c r="K33" s="1" t="s">
        <v>3</v>
      </c>
      <c r="L33" t="s">
        <v>4</v>
      </c>
      <c r="M33" s="1" t="s">
        <v>3</v>
      </c>
      <c r="N33" t="s">
        <v>4</v>
      </c>
      <c r="O33" s="1" t="s">
        <v>3</v>
      </c>
      <c r="P33" t="s">
        <v>10</v>
      </c>
      <c r="Q33" s="1" t="s">
        <v>11</v>
      </c>
      <c r="R33" t="s">
        <v>21</v>
      </c>
      <c r="S33" s="1" t="s">
        <v>3</v>
      </c>
      <c r="T33" t="s">
        <v>10</v>
      </c>
      <c r="U33" s="1" t="s">
        <v>9</v>
      </c>
      <c r="V33" t="s">
        <v>10</v>
      </c>
      <c r="W33" s="1" t="s">
        <v>9</v>
      </c>
      <c r="X33" t="s">
        <v>10</v>
      </c>
      <c r="Y33" s="1" t="s">
        <v>9</v>
      </c>
      <c r="Z33" t="s">
        <v>10</v>
      </c>
      <c r="AA33" s="1" t="s">
        <v>9</v>
      </c>
      <c r="AB33" t="s">
        <v>4</v>
      </c>
      <c r="AC33" s="1" t="s">
        <v>3</v>
      </c>
      <c r="AD33" t="s">
        <v>22</v>
      </c>
      <c r="AE33" s="1" t="s">
        <v>3</v>
      </c>
      <c r="AF33" t="s">
        <v>22</v>
      </c>
      <c r="AG33" s="1" t="s">
        <v>3</v>
      </c>
      <c r="AH33" t="s">
        <v>22</v>
      </c>
      <c r="AI33" s="1" t="s">
        <v>3</v>
      </c>
      <c r="AK33" s="1"/>
      <c r="AL33" t="s">
        <v>22</v>
      </c>
      <c r="AM33" s="1" t="s">
        <v>3</v>
      </c>
      <c r="AN33" t="s">
        <v>22</v>
      </c>
      <c r="AO33" s="1" t="s">
        <v>3</v>
      </c>
      <c r="AP33" t="s">
        <v>4</v>
      </c>
      <c r="AQ33" s="1" t="s">
        <v>3</v>
      </c>
      <c r="AR33" t="s">
        <v>22</v>
      </c>
      <c r="AS33" s="1" t="s">
        <v>3</v>
      </c>
      <c r="AT33" t="s">
        <v>22</v>
      </c>
      <c r="AU33" s="1" t="s">
        <v>3</v>
      </c>
      <c r="AV33" t="s">
        <v>22</v>
      </c>
      <c r="AW33" s="1" t="s">
        <v>3</v>
      </c>
      <c r="AX33" t="s">
        <v>4</v>
      </c>
      <c r="AY33" s="1" t="s">
        <v>3</v>
      </c>
      <c r="BA33">
        <v>72</v>
      </c>
      <c r="BB33">
        <v>72</v>
      </c>
      <c r="BD33">
        <v>16</v>
      </c>
      <c r="BE33" t="s">
        <v>1</v>
      </c>
      <c r="BF33" t="s">
        <v>1</v>
      </c>
      <c r="BG33">
        <v>28.22</v>
      </c>
      <c r="BH33">
        <v>11</v>
      </c>
      <c r="BI33">
        <v>8</v>
      </c>
      <c r="BJ33">
        <v>2</v>
      </c>
      <c r="BK33">
        <v>2</v>
      </c>
      <c r="BR33" s="2"/>
    </row>
    <row r="34" spans="1:70" x14ac:dyDescent="0.55000000000000004">
      <c r="A34" t="s">
        <v>20</v>
      </c>
      <c r="B34">
        <v>33</v>
      </c>
      <c r="C34">
        <v>5</v>
      </c>
      <c r="D34">
        <v>1</v>
      </c>
      <c r="E34" s="2">
        <v>45943</v>
      </c>
      <c r="F34" t="s">
        <v>19</v>
      </c>
      <c r="G34" t="s">
        <v>12</v>
      </c>
      <c r="H34" t="s">
        <v>21</v>
      </c>
      <c r="I34" s="1" t="s">
        <v>11</v>
      </c>
      <c r="J34" t="s">
        <v>22</v>
      </c>
      <c r="K34" s="1" t="s">
        <v>3</v>
      </c>
      <c r="L34" t="s">
        <v>22</v>
      </c>
      <c r="M34" s="1" t="s">
        <v>3</v>
      </c>
      <c r="N34" t="s">
        <v>10</v>
      </c>
      <c r="O34" s="1" t="s">
        <v>11</v>
      </c>
      <c r="P34" t="s">
        <v>10</v>
      </c>
      <c r="Q34" s="1" t="s">
        <v>11</v>
      </c>
      <c r="R34" t="s">
        <v>22</v>
      </c>
      <c r="S34" s="1" t="s">
        <v>3</v>
      </c>
      <c r="T34" t="s">
        <v>4</v>
      </c>
      <c r="U34" s="1" t="s">
        <v>3</v>
      </c>
      <c r="V34" t="s">
        <v>4</v>
      </c>
      <c r="W34" s="1" t="s">
        <v>3</v>
      </c>
      <c r="X34" t="s">
        <v>4</v>
      </c>
      <c r="Y34" s="1" t="s">
        <v>3</v>
      </c>
      <c r="Z34" t="s">
        <v>4</v>
      </c>
      <c r="AA34" s="1" t="s">
        <v>3</v>
      </c>
      <c r="AB34" t="s">
        <v>4</v>
      </c>
      <c r="AC34" s="1" t="s">
        <v>11</v>
      </c>
      <c r="AD34" t="s">
        <v>10</v>
      </c>
      <c r="AE34" s="1" t="s">
        <v>9</v>
      </c>
      <c r="AF34" t="s">
        <v>22</v>
      </c>
      <c r="AG34" s="1" t="s">
        <v>11</v>
      </c>
      <c r="AH34" t="s">
        <v>4</v>
      </c>
      <c r="AI34" s="1" t="s">
        <v>3</v>
      </c>
      <c r="AL34" t="s">
        <v>4</v>
      </c>
      <c r="AM34" s="1" t="s">
        <v>3</v>
      </c>
      <c r="AN34" t="s">
        <v>4</v>
      </c>
      <c r="AO34" s="1" t="s">
        <v>3</v>
      </c>
      <c r="AP34" t="s">
        <v>4</v>
      </c>
      <c r="AQ34" s="1" t="s">
        <v>3</v>
      </c>
      <c r="AR34" t="s">
        <v>4</v>
      </c>
      <c r="AS34" s="1" t="s">
        <v>3</v>
      </c>
      <c r="AT34" t="s">
        <v>22</v>
      </c>
      <c r="AU34" s="1" t="s">
        <v>3</v>
      </c>
      <c r="AV34" t="s">
        <v>22</v>
      </c>
      <c r="AW34" s="1" t="s">
        <v>3</v>
      </c>
      <c r="AX34" t="s">
        <v>22</v>
      </c>
      <c r="AY34" s="1" t="s">
        <v>3</v>
      </c>
      <c r="BA34">
        <v>43</v>
      </c>
      <c r="BB34">
        <v>73</v>
      </c>
      <c r="BC34">
        <v>5</v>
      </c>
      <c r="BD34">
        <v>1</v>
      </c>
      <c r="BE34" t="s">
        <v>1</v>
      </c>
      <c r="BF34" t="s">
        <v>1</v>
      </c>
      <c r="BG34">
        <v>23.72</v>
      </c>
      <c r="BH34">
        <v>10</v>
      </c>
      <c r="BI34">
        <v>8</v>
      </c>
      <c r="BJ34">
        <v>1</v>
      </c>
      <c r="BK34">
        <v>2</v>
      </c>
      <c r="BR34" s="2"/>
    </row>
    <row r="35" spans="1:70" x14ac:dyDescent="0.55000000000000004">
      <c r="A35" t="s">
        <v>20</v>
      </c>
      <c r="B35">
        <v>34</v>
      </c>
      <c r="C35">
        <v>5</v>
      </c>
      <c r="D35">
        <v>2</v>
      </c>
      <c r="E35" s="2">
        <v>45943</v>
      </c>
      <c r="F35" t="s">
        <v>19</v>
      </c>
      <c r="G35" t="s">
        <v>6</v>
      </c>
      <c r="H35" t="s">
        <v>4</v>
      </c>
      <c r="I35" s="1" t="s">
        <v>11</v>
      </c>
      <c r="J35" t="s">
        <v>22</v>
      </c>
      <c r="K35" s="1" t="s">
        <v>3</v>
      </c>
      <c r="L35" t="s">
        <v>22</v>
      </c>
      <c r="M35" s="1" t="s">
        <v>3</v>
      </c>
      <c r="N35" t="s">
        <v>4</v>
      </c>
      <c r="O35" s="1" t="s">
        <v>3</v>
      </c>
      <c r="P35" t="s">
        <v>4</v>
      </c>
      <c r="Q35" s="1" t="s">
        <v>3</v>
      </c>
      <c r="R35" t="s">
        <v>4</v>
      </c>
      <c r="S35" s="1" t="s">
        <v>3</v>
      </c>
      <c r="T35" t="s">
        <v>4</v>
      </c>
      <c r="U35" s="1" t="s">
        <v>3</v>
      </c>
      <c r="V35" t="s">
        <v>4</v>
      </c>
      <c r="W35" s="1" t="s">
        <v>3</v>
      </c>
      <c r="X35" t="s">
        <v>21</v>
      </c>
      <c r="Y35" s="1" t="s">
        <v>11</v>
      </c>
      <c r="Z35" t="s">
        <v>22</v>
      </c>
      <c r="AA35" t="s">
        <v>11</v>
      </c>
      <c r="AB35" t="s">
        <v>10</v>
      </c>
      <c r="AC35" s="1" t="s">
        <v>9</v>
      </c>
      <c r="AD35" t="s">
        <v>10</v>
      </c>
      <c r="AE35" s="1" t="s">
        <v>9</v>
      </c>
      <c r="AF35" t="s">
        <v>10</v>
      </c>
      <c r="AG35" s="1" t="s">
        <v>9</v>
      </c>
      <c r="AH35" t="s">
        <v>10</v>
      </c>
      <c r="AI35" s="1" t="s">
        <v>9</v>
      </c>
      <c r="AL35" t="s">
        <v>10</v>
      </c>
      <c r="AM35" s="1" t="s">
        <v>9</v>
      </c>
      <c r="AN35" t="s">
        <v>10</v>
      </c>
      <c r="AO35" s="1" t="s">
        <v>9</v>
      </c>
      <c r="AP35" t="s">
        <v>10</v>
      </c>
      <c r="AQ35" s="1" t="s">
        <v>9</v>
      </c>
      <c r="AR35" t="s">
        <v>10</v>
      </c>
      <c r="AS35" s="1" t="s">
        <v>9</v>
      </c>
      <c r="AT35" t="s">
        <v>10</v>
      </c>
      <c r="AU35" s="1" t="s">
        <v>9</v>
      </c>
      <c r="AV35" t="s">
        <v>10</v>
      </c>
      <c r="AW35" s="1" t="s">
        <v>9</v>
      </c>
      <c r="AX35" t="s">
        <v>10</v>
      </c>
      <c r="AY35" s="1" t="s">
        <v>9</v>
      </c>
      <c r="AZ35" t="s">
        <v>25</v>
      </c>
      <c r="BA35">
        <v>74</v>
      </c>
      <c r="BB35">
        <v>74</v>
      </c>
      <c r="BD35">
        <v>2</v>
      </c>
      <c r="BE35" t="s">
        <v>1</v>
      </c>
      <c r="BF35" t="s">
        <v>1</v>
      </c>
      <c r="BG35">
        <v>26.68</v>
      </c>
      <c r="BH35">
        <v>14</v>
      </c>
      <c r="BI35">
        <v>8</v>
      </c>
      <c r="BJ35">
        <v>2</v>
      </c>
      <c r="BK35">
        <v>2</v>
      </c>
      <c r="BR35" s="2"/>
    </row>
    <row r="36" spans="1:70" x14ac:dyDescent="0.55000000000000004">
      <c r="A36" t="s">
        <v>20</v>
      </c>
      <c r="B36">
        <v>35</v>
      </c>
      <c r="C36">
        <v>5</v>
      </c>
      <c r="D36">
        <v>3</v>
      </c>
      <c r="E36" s="2">
        <v>45943</v>
      </c>
      <c r="F36" t="s">
        <v>19</v>
      </c>
      <c r="G36" t="s">
        <v>13</v>
      </c>
      <c r="H36" t="s">
        <v>10</v>
      </c>
      <c r="I36" s="1" t="s">
        <v>3</v>
      </c>
      <c r="J36" t="s">
        <v>4</v>
      </c>
      <c r="K36" s="1" t="s">
        <v>3</v>
      </c>
      <c r="L36" t="s">
        <v>10</v>
      </c>
      <c r="M36" s="1" t="s">
        <v>9</v>
      </c>
      <c r="N36" t="s">
        <v>10</v>
      </c>
      <c r="O36" s="1" t="s">
        <v>9</v>
      </c>
      <c r="P36" t="s">
        <v>10</v>
      </c>
      <c r="Q36" s="1" t="s">
        <v>9</v>
      </c>
      <c r="R36" t="s">
        <v>10</v>
      </c>
      <c r="S36" s="1" t="s">
        <v>9</v>
      </c>
      <c r="T36" t="s">
        <v>21</v>
      </c>
      <c r="U36" s="1" t="s">
        <v>11</v>
      </c>
      <c r="V36" t="s">
        <v>10</v>
      </c>
      <c r="W36" s="1" t="s">
        <v>9</v>
      </c>
      <c r="X36" t="s">
        <v>10</v>
      </c>
      <c r="Y36" s="1" t="s">
        <v>9</v>
      </c>
      <c r="Z36" t="s">
        <v>10</v>
      </c>
      <c r="AA36" t="s">
        <v>9</v>
      </c>
      <c r="AB36" t="s">
        <v>10</v>
      </c>
      <c r="AC36" s="1" t="s">
        <v>9</v>
      </c>
      <c r="AD36" t="s">
        <v>10</v>
      </c>
      <c r="AE36" s="1" t="s">
        <v>9</v>
      </c>
      <c r="AF36" t="s">
        <v>10</v>
      </c>
      <c r="AG36" s="1" t="s">
        <v>3</v>
      </c>
      <c r="AH36" t="s">
        <v>4</v>
      </c>
      <c r="AI36" s="1" t="s">
        <v>3</v>
      </c>
      <c r="AL36" t="s">
        <v>10</v>
      </c>
      <c r="AM36" s="1" t="s">
        <v>3</v>
      </c>
      <c r="AN36" t="s">
        <v>5</v>
      </c>
      <c r="AO36" s="1" t="s">
        <v>3</v>
      </c>
      <c r="AP36" t="s">
        <v>5</v>
      </c>
      <c r="AQ36" s="1" t="s">
        <v>3</v>
      </c>
      <c r="AR36" t="s">
        <v>5</v>
      </c>
      <c r="AS36" s="1" t="s">
        <v>3</v>
      </c>
      <c r="AT36" t="s">
        <v>21</v>
      </c>
      <c r="AU36" s="1" t="s">
        <v>11</v>
      </c>
      <c r="AV36" t="s">
        <v>4</v>
      </c>
      <c r="AW36" s="1" t="s">
        <v>3</v>
      </c>
      <c r="AX36" t="s">
        <v>10</v>
      </c>
      <c r="AY36" s="1" t="s">
        <v>11</v>
      </c>
      <c r="BA36">
        <v>49</v>
      </c>
      <c r="BB36">
        <v>75</v>
      </c>
      <c r="BC36">
        <v>16</v>
      </c>
      <c r="BD36">
        <v>3</v>
      </c>
      <c r="BE36" t="s">
        <v>1</v>
      </c>
      <c r="BF36" t="s">
        <v>1</v>
      </c>
      <c r="BG36">
        <v>25.38</v>
      </c>
      <c r="BH36">
        <v>9</v>
      </c>
      <c r="BI36">
        <v>6</v>
      </c>
      <c r="BJ36">
        <v>1</v>
      </c>
      <c r="BK36">
        <v>1</v>
      </c>
      <c r="BR36" s="2"/>
    </row>
    <row r="37" spans="1:70" x14ac:dyDescent="0.55000000000000004">
      <c r="A37" t="s">
        <v>20</v>
      </c>
      <c r="B37">
        <v>36</v>
      </c>
      <c r="C37">
        <v>5</v>
      </c>
      <c r="D37">
        <v>4</v>
      </c>
      <c r="E37" s="2">
        <v>45943</v>
      </c>
      <c r="F37" t="s">
        <v>19</v>
      </c>
      <c r="G37" t="s">
        <v>12</v>
      </c>
      <c r="H37" t="s">
        <v>21</v>
      </c>
      <c r="I37" s="1" t="s">
        <v>3</v>
      </c>
      <c r="J37" t="s">
        <v>21</v>
      </c>
      <c r="K37" s="1" t="s">
        <v>11</v>
      </c>
      <c r="L37" t="s">
        <v>10</v>
      </c>
      <c r="M37" s="1" t="s">
        <v>9</v>
      </c>
      <c r="N37" t="s">
        <v>4</v>
      </c>
      <c r="O37" s="1" t="s">
        <v>11</v>
      </c>
      <c r="P37" t="s">
        <v>10</v>
      </c>
      <c r="Q37" s="1" t="s">
        <v>9</v>
      </c>
      <c r="R37" t="s">
        <v>4</v>
      </c>
      <c r="S37" s="1" t="s">
        <v>11</v>
      </c>
      <c r="T37" t="s">
        <v>4</v>
      </c>
      <c r="U37" s="1" t="s">
        <v>11</v>
      </c>
      <c r="V37" t="s">
        <v>4</v>
      </c>
      <c r="W37" s="1" t="s">
        <v>3</v>
      </c>
      <c r="X37" t="s">
        <v>10</v>
      </c>
      <c r="Y37" s="1" t="s">
        <v>3</v>
      </c>
      <c r="Z37" t="s">
        <v>22</v>
      </c>
      <c r="AA37" t="s">
        <v>11</v>
      </c>
      <c r="AB37" t="s">
        <v>22</v>
      </c>
      <c r="AC37" s="1" t="s">
        <v>3</v>
      </c>
      <c r="AD37" t="s">
        <v>4</v>
      </c>
      <c r="AE37" s="1" t="s">
        <v>11</v>
      </c>
      <c r="AF37" t="s">
        <v>4</v>
      </c>
      <c r="AG37" s="1" t="s">
        <v>11</v>
      </c>
      <c r="AH37" t="s">
        <v>10</v>
      </c>
      <c r="AI37" s="1" t="s">
        <v>3</v>
      </c>
      <c r="AL37" t="s">
        <v>22</v>
      </c>
      <c r="AM37" s="1" t="s">
        <v>3</v>
      </c>
      <c r="AN37" t="s">
        <v>22</v>
      </c>
      <c r="AO37" s="1" t="s">
        <v>3</v>
      </c>
      <c r="AP37" t="s">
        <v>4</v>
      </c>
      <c r="AQ37" s="1" t="s">
        <v>3</v>
      </c>
      <c r="AR37" t="s">
        <v>22</v>
      </c>
      <c r="AS37" s="1" t="s">
        <v>3</v>
      </c>
      <c r="AT37" t="s">
        <v>10</v>
      </c>
      <c r="AU37" s="1" t="s">
        <v>3</v>
      </c>
      <c r="AV37" t="s">
        <v>10</v>
      </c>
      <c r="AW37" s="1" t="s">
        <v>11</v>
      </c>
      <c r="AX37" t="s">
        <v>10</v>
      </c>
      <c r="AY37" s="1" t="s">
        <v>3</v>
      </c>
      <c r="BA37">
        <v>76</v>
      </c>
      <c r="BB37">
        <v>76</v>
      </c>
      <c r="BD37">
        <v>4</v>
      </c>
      <c r="BE37" t="s">
        <v>1</v>
      </c>
      <c r="BF37" t="s">
        <v>16</v>
      </c>
      <c r="BG37">
        <v>30.28</v>
      </c>
      <c r="BH37">
        <v>19</v>
      </c>
      <c r="BI37">
        <v>8</v>
      </c>
      <c r="BJ37">
        <v>2</v>
      </c>
      <c r="BK37">
        <v>2</v>
      </c>
      <c r="BR37" s="2"/>
    </row>
    <row r="38" spans="1:70" x14ac:dyDescent="0.55000000000000004">
      <c r="A38" t="s">
        <v>20</v>
      </c>
      <c r="B38">
        <v>37</v>
      </c>
      <c r="C38">
        <v>5</v>
      </c>
      <c r="D38">
        <v>5</v>
      </c>
      <c r="E38" s="2">
        <v>45943</v>
      </c>
      <c r="F38" t="s">
        <v>19</v>
      </c>
      <c r="G38" t="s">
        <v>6</v>
      </c>
      <c r="H38" t="s">
        <v>4</v>
      </c>
      <c r="I38" s="1" t="s">
        <v>3</v>
      </c>
      <c r="J38" t="s">
        <v>22</v>
      </c>
      <c r="K38" s="1" t="s">
        <v>3</v>
      </c>
      <c r="L38" t="s">
        <v>5</v>
      </c>
      <c r="M38" s="1" t="s">
        <v>3</v>
      </c>
      <c r="N38" t="s">
        <v>5</v>
      </c>
      <c r="O38" s="1" t="s">
        <v>3</v>
      </c>
      <c r="P38" t="s">
        <v>5</v>
      </c>
      <c r="Q38" s="1" t="s">
        <v>3</v>
      </c>
      <c r="R38" t="s">
        <v>5</v>
      </c>
      <c r="S38" s="1" t="s">
        <v>3</v>
      </c>
      <c r="T38" t="s">
        <v>5</v>
      </c>
      <c r="U38" s="1" t="s">
        <v>3</v>
      </c>
      <c r="V38" t="s">
        <v>5</v>
      </c>
      <c r="W38" s="1" t="s">
        <v>3</v>
      </c>
      <c r="X38" t="s">
        <v>5</v>
      </c>
      <c r="Y38" s="1" t="s">
        <v>3</v>
      </c>
      <c r="Z38" t="s">
        <v>5</v>
      </c>
      <c r="AA38" t="s">
        <v>3</v>
      </c>
      <c r="AB38" t="s">
        <v>5</v>
      </c>
      <c r="AC38" s="1" t="s">
        <v>3</v>
      </c>
      <c r="AD38" t="s">
        <v>5</v>
      </c>
      <c r="AE38" s="1" t="s">
        <v>3</v>
      </c>
      <c r="AF38" t="s">
        <v>5</v>
      </c>
      <c r="AG38" s="1" t="s">
        <v>3</v>
      </c>
      <c r="AH38" t="s">
        <v>5</v>
      </c>
      <c r="AI38" s="1" t="s">
        <v>3</v>
      </c>
      <c r="AL38" t="s">
        <v>4</v>
      </c>
      <c r="AM38" s="1" t="s">
        <v>3</v>
      </c>
      <c r="AN38" t="s">
        <v>21</v>
      </c>
      <c r="AO38" s="1" t="s">
        <v>3</v>
      </c>
      <c r="AP38" t="s">
        <v>10</v>
      </c>
      <c r="AQ38" s="1" t="s">
        <v>9</v>
      </c>
      <c r="AR38" t="s">
        <v>10</v>
      </c>
      <c r="AS38" s="1" t="s">
        <v>9</v>
      </c>
      <c r="AT38" t="s">
        <v>10</v>
      </c>
      <c r="AU38" s="1" t="s">
        <v>9</v>
      </c>
      <c r="AV38" t="s">
        <v>4</v>
      </c>
      <c r="AW38" s="1" t="s">
        <v>3</v>
      </c>
      <c r="AX38" t="s">
        <v>22</v>
      </c>
      <c r="AY38" s="1" t="s">
        <v>3</v>
      </c>
      <c r="BA38">
        <v>77</v>
      </c>
      <c r="BB38">
        <v>77</v>
      </c>
      <c r="BD38">
        <v>5</v>
      </c>
      <c r="BE38" t="s">
        <v>1</v>
      </c>
      <c r="BF38" t="s">
        <v>1</v>
      </c>
      <c r="BG38">
        <v>26.63</v>
      </c>
      <c r="BH38">
        <v>12</v>
      </c>
      <c r="BI38">
        <v>8</v>
      </c>
      <c r="BJ38">
        <v>2</v>
      </c>
      <c r="BK38">
        <v>0</v>
      </c>
      <c r="BR38" s="2"/>
    </row>
    <row r="39" spans="1:70" x14ac:dyDescent="0.55000000000000004">
      <c r="A39" t="s">
        <v>20</v>
      </c>
      <c r="B39">
        <v>38</v>
      </c>
      <c r="C39">
        <v>5</v>
      </c>
      <c r="D39">
        <v>6</v>
      </c>
      <c r="E39" s="2">
        <v>45943</v>
      </c>
      <c r="F39" t="s">
        <v>19</v>
      </c>
      <c r="G39" t="s">
        <v>13</v>
      </c>
      <c r="H39" t="s">
        <v>10</v>
      </c>
      <c r="I39" s="1" t="s">
        <v>9</v>
      </c>
      <c r="J39" t="s">
        <v>10</v>
      </c>
      <c r="K39" s="1" t="s">
        <v>11</v>
      </c>
      <c r="L39" t="s">
        <v>5</v>
      </c>
      <c r="M39" s="1" t="s">
        <v>3</v>
      </c>
      <c r="N39" t="s">
        <v>5</v>
      </c>
      <c r="O39" s="1" t="s">
        <v>3</v>
      </c>
      <c r="P39" t="s">
        <v>10</v>
      </c>
      <c r="Q39" s="1" t="s">
        <v>11</v>
      </c>
      <c r="R39" t="s">
        <v>10</v>
      </c>
      <c r="S39" s="1" t="s">
        <v>9</v>
      </c>
      <c r="T39" t="s">
        <v>10</v>
      </c>
      <c r="U39" s="1" t="s">
        <v>9</v>
      </c>
      <c r="V39" t="s">
        <v>5</v>
      </c>
      <c r="W39" s="1" t="s">
        <v>3</v>
      </c>
      <c r="X39" t="s">
        <v>5</v>
      </c>
      <c r="Y39" s="1" t="s">
        <v>3</v>
      </c>
      <c r="Z39" t="s">
        <v>23</v>
      </c>
      <c r="AA39" t="s">
        <v>3</v>
      </c>
      <c r="AB39" t="s">
        <v>5</v>
      </c>
      <c r="AC39" s="1" t="s">
        <v>3</v>
      </c>
      <c r="AD39" t="s">
        <v>5</v>
      </c>
      <c r="AE39" s="1" t="s">
        <v>3</v>
      </c>
      <c r="AF39" t="s">
        <v>23</v>
      </c>
      <c r="AG39" s="1" t="s">
        <v>3</v>
      </c>
      <c r="AH39" t="s">
        <v>10</v>
      </c>
      <c r="AI39" s="1" t="s">
        <v>9</v>
      </c>
      <c r="AL39" t="s">
        <v>5</v>
      </c>
      <c r="AM39" s="1" t="s">
        <v>3</v>
      </c>
      <c r="AN39" t="s">
        <v>5</v>
      </c>
      <c r="AO39" s="1" t="s">
        <v>3</v>
      </c>
      <c r="AP39" t="s">
        <v>5</v>
      </c>
      <c r="AQ39" s="1" t="s">
        <v>3</v>
      </c>
      <c r="AR39" t="s">
        <v>5</v>
      </c>
      <c r="AS39" s="1" t="s">
        <v>3</v>
      </c>
      <c r="AT39" t="s">
        <v>5</v>
      </c>
      <c r="AU39" s="1" t="s">
        <v>3</v>
      </c>
      <c r="AV39" t="s">
        <v>5</v>
      </c>
      <c r="AW39" s="1" t="s">
        <v>3</v>
      </c>
      <c r="AX39" t="s">
        <v>5</v>
      </c>
      <c r="AY39" s="1" t="s">
        <v>3</v>
      </c>
      <c r="BA39">
        <v>78</v>
      </c>
      <c r="BB39">
        <v>78</v>
      </c>
      <c r="BD39">
        <v>6</v>
      </c>
      <c r="BE39" t="s">
        <v>1</v>
      </c>
      <c r="BF39" t="s">
        <v>0</v>
      </c>
      <c r="BG39">
        <v>18.350000000000001</v>
      </c>
      <c r="BH39">
        <v>3</v>
      </c>
      <c r="BI39">
        <v>8</v>
      </c>
      <c r="BJ39">
        <v>2</v>
      </c>
      <c r="BK39">
        <v>2</v>
      </c>
      <c r="BR39" s="2"/>
    </row>
    <row r="40" spans="1:70" x14ac:dyDescent="0.55000000000000004">
      <c r="A40" t="s">
        <v>20</v>
      </c>
      <c r="B40">
        <v>39</v>
      </c>
      <c r="C40">
        <v>5</v>
      </c>
      <c r="D40">
        <v>7</v>
      </c>
      <c r="E40" s="2">
        <v>45943</v>
      </c>
      <c r="F40" t="s">
        <v>19</v>
      </c>
      <c r="G40" t="s">
        <v>12</v>
      </c>
      <c r="H40" t="s">
        <v>4</v>
      </c>
      <c r="I40" s="1" t="s">
        <v>11</v>
      </c>
      <c r="J40" t="s">
        <v>4</v>
      </c>
      <c r="K40" s="1" t="s">
        <v>11</v>
      </c>
      <c r="L40" t="s">
        <v>10</v>
      </c>
      <c r="M40" s="1" t="s">
        <v>3</v>
      </c>
      <c r="N40" t="s">
        <v>10</v>
      </c>
      <c r="O40" s="1" t="s">
        <v>9</v>
      </c>
      <c r="P40" t="s">
        <v>10</v>
      </c>
      <c r="Q40" s="1" t="s">
        <v>9</v>
      </c>
      <c r="R40" t="s">
        <v>22</v>
      </c>
      <c r="S40" s="1" t="s">
        <v>3</v>
      </c>
      <c r="T40" t="s">
        <v>10</v>
      </c>
      <c r="U40" s="1" t="s">
        <v>9</v>
      </c>
      <c r="V40" t="s">
        <v>10</v>
      </c>
      <c r="W40" s="1" t="s">
        <v>9</v>
      </c>
      <c r="X40" t="s">
        <v>10</v>
      </c>
      <c r="Y40" s="1" t="s">
        <v>9</v>
      </c>
      <c r="Z40" t="s">
        <v>10</v>
      </c>
      <c r="AA40" t="s">
        <v>9</v>
      </c>
      <c r="AB40" t="s">
        <v>10</v>
      </c>
      <c r="AC40" s="1" t="s">
        <v>9</v>
      </c>
      <c r="AD40" t="s">
        <v>4</v>
      </c>
      <c r="AE40" s="1" t="s">
        <v>9</v>
      </c>
      <c r="AF40" t="s">
        <v>10</v>
      </c>
      <c r="AG40" s="1" t="s">
        <v>3</v>
      </c>
      <c r="AH40" t="s">
        <v>10</v>
      </c>
      <c r="AI40" s="1" t="s">
        <v>3</v>
      </c>
      <c r="AL40" t="s">
        <v>5</v>
      </c>
      <c r="AM40" s="1" t="s">
        <v>3</v>
      </c>
      <c r="AN40" t="s">
        <v>5</v>
      </c>
      <c r="AO40" s="1" t="s">
        <v>3</v>
      </c>
      <c r="AP40" t="s">
        <v>5</v>
      </c>
      <c r="AQ40" s="1" t="s">
        <v>3</v>
      </c>
      <c r="AR40" t="s">
        <v>5</v>
      </c>
      <c r="AS40" s="1" t="s">
        <v>3</v>
      </c>
      <c r="AT40" t="s">
        <v>5</v>
      </c>
      <c r="AU40" s="1" t="s">
        <v>3</v>
      </c>
      <c r="AV40" t="s">
        <v>23</v>
      </c>
      <c r="AW40" s="1" t="s">
        <v>3</v>
      </c>
      <c r="AX40" t="s">
        <v>5</v>
      </c>
      <c r="AY40" s="1" t="s">
        <v>3</v>
      </c>
      <c r="BA40">
        <v>79</v>
      </c>
      <c r="BB40">
        <v>79</v>
      </c>
      <c r="BD40">
        <v>7</v>
      </c>
      <c r="BE40" t="s">
        <v>1</v>
      </c>
      <c r="BF40" t="s">
        <v>1</v>
      </c>
      <c r="BG40">
        <v>24.24</v>
      </c>
      <c r="BH40">
        <v>10</v>
      </c>
      <c r="BI40">
        <v>6</v>
      </c>
      <c r="BJ40">
        <v>2</v>
      </c>
      <c r="BK40">
        <v>2</v>
      </c>
      <c r="BR40" s="2"/>
    </row>
    <row r="41" spans="1:70" x14ac:dyDescent="0.55000000000000004">
      <c r="A41" t="s">
        <v>20</v>
      </c>
      <c r="B41">
        <v>40</v>
      </c>
      <c r="C41">
        <v>5</v>
      </c>
      <c r="D41">
        <v>8</v>
      </c>
      <c r="E41" s="2">
        <v>45943</v>
      </c>
      <c r="F41" t="s">
        <v>19</v>
      </c>
      <c r="G41" t="s">
        <v>6</v>
      </c>
      <c r="H41" t="s">
        <v>4</v>
      </c>
      <c r="I41" s="1" t="s">
        <v>3</v>
      </c>
      <c r="J41" t="s">
        <v>4</v>
      </c>
      <c r="K41" s="1" t="s">
        <v>11</v>
      </c>
      <c r="L41" t="s">
        <v>21</v>
      </c>
      <c r="M41" s="1" t="s">
        <v>11</v>
      </c>
      <c r="N41" t="s">
        <v>4</v>
      </c>
      <c r="O41" s="1" t="s">
        <v>11</v>
      </c>
      <c r="P41" t="s">
        <v>4</v>
      </c>
      <c r="Q41" s="1" t="s">
        <v>11</v>
      </c>
      <c r="R41" t="s">
        <v>10</v>
      </c>
      <c r="S41" s="1" t="s">
        <v>9</v>
      </c>
      <c r="T41" t="s">
        <v>23</v>
      </c>
      <c r="U41" s="1" t="s">
        <v>3</v>
      </c>
      <c r="V41" t="s">
        <v>5</v>
      </c>
      <c r="W41" s="1" t="s">
        <v>3</v>
      </c>
      <c r="X41" t="s">
        <v>5</v>
      </c>
      <c r="Y41" s="1" t="s">
        <v>3</v>
      </c>
      <c r="Z41" t="s">
        <v>5</v>
      </c>
      <c r="AA41" t="s">
        <v>3</v>
      </c>
      <c r="AB41" t="s">
        <v>5</v>
      </c>
      <c r="AC41" s="1" t="s">
        <v>3</v>
      </c>
      <c r="AD41" t="s">
        <v>23</v>
      </c>
      <c r="AE41" s="1" t="s">
        <v>3</v>
      </c>
      <c r="AF41" t="s">
        <v>5</v>
      </c>
      <c r="AG41" s="1" t="s">
        <v>3</v>
      </c>
      <c r="AH41" t="s">
        <v>5</v>
      </c>
      <c r="AI41" s="1" t="s">
        <v>3</v>
      </c>
      <c r="AL41" t="s">
        <v>23</v>
      </c>
      <c r="AM41" s="1" t="s">
        <v>3</v>
      </c>
      <c r="AN41" t="s">
        <v>23</v>
      </c>
      <c r="AO41" s="1" t="s">
        <v>3</v>
      </c>
      <c r="AP41" t="s">
        <v>5</v>
      </c>
      <c r="AQ41" s="1" t="s">
        <v>3</v>
      </c>
      <c r="AR41" t="s">
        <v>5</v>
      </c>
      <c r="AS41" s="1" t="s">
        <v>3</v>
      </c>
      <c r="AT41" t="s">
        <v>5</v>
      </c>
      <c r="AU41" s="1" t="s">
        <v>3</v>
      </c>
      <c r="AV41" t="s">
        <v>23</v>
      </c>
      <c r="AW41" s="1" t="s">
        <v>3</v>
      </c>
      <c r="AX41" t="s">
        <v>23</v>
      </c>
      <c r="AY41" s="1" t="s">
        <v>3</v>
      </c>
      <c r="BA41">
        <v>52</v>
      </c>
      <c r="BB41">
        <v>80</v>
      </c>
      <c r="BC41">
        <v>24</v>
      </c>
      <c r="BD41">
        <v>8</v>
      </c>
      <c r="BE41" t="s">
        <v>1</v>
      </c>
      <c r="BF41" t="s">
        <v>1</v>
      </c>
      <c r="BG41">
        <v>20.05</v>
      </c>
      <c r="BH41">
        <v>15</v>
      </c>
      <c r="BI41">
        <v>8</v>
      </c>
      <c r="BJ41">
        <v>2</v>
      </c>
      <c r="BK41">
        <v>2</v>
      </c>
      <c r="BL41" t="s">
        <v>192</v>
      </c>
      <c r="BR41" s="2"/>
    </row>
    <row r="42" spans="1:70" x14ac:dyDescent="0.55000000000000004">
      <c r="A42" t="s">
        <v>20</v>
      </c>
      <c r="B42">
        <v>41</v>
      </c>
      <c r="C42">
        <v>6</v>
      </c>
      <c r="D42">
        <v>1</v>
      </c>
      <c r="E42" s="2">
        <v>45944</v>
      </c>
      <c r="F42" t="s">
        <v>19</v>
      </c>
      <c r="G42" t="s">
        <v>13</v>
      </c>
      <c r="H42" t="s">
        <v>22</v>
      </c>
      <c r="I42" s="1" t="s">
        <v>3</v>
      </c>
      <c r="J42" t="s">
        <v>10</v>
      </c>
      <c r="K42" s="1" t="s">
        <v>11</v>
      </c>
      <c r="L42" t="s">
        <v>4</v>
      </c>
      <c r="M42" s="1" t="s">
        <v>11</v>
      </c>
      <c r="N42" t="s">
        <v>10</v>
      </c>
      <c r="O42" s="1" t="s">
        <v>11</v>
      </c>
      <c r="P42" t="s">
        <v>10</v>
      </c>
      <c r="Q42" s="1" t="s">
        <v>11</v>
      </c>
      <c r="R42" t="s">
        <v>10</v>
      </c>
      <c r="S42" s="1" t="s">
        <v>11</v>
      </c>
      <c r="T42" t="s">
        <v>10</v>
      </c>
      <c r="U42" s="1" t="s">
        <v>3</v>
      </c>
      <c r="V42" t="s">
        <v>10</v>
      </c>
      <c r="W42" s="1" t="s">
        <v>3</v>
      </c>
      <c r="X42" t="s">
        <v>10</v>
      </c>
      <c r="Y42" s="1" t="s">
        <v>3</v>
      </c>
      <c r="Z42" t="s">
        <v>10</v>
      </c>
      <c r="AA42" t="s">
        <v>3</v>
      </c>
      <c r="AB42" t="s">
        <v>10</v>
      </c>
      <c r="AC42" s="1" t="s">
        <v>3</v>
      </c>
      <c r="AD42" t="s">
        <v>10</v>
      </c>
      <c r="AE42" s="1" t="s">
        <v>3</v>
      </c>
      <c r="AF42" t="s">
        <v>10</v>
      </c>
      <c r="AG42" s="1" t="s">
        <v>11</v>
      </c>
      <c r="AH42" t="s">
        <v>10</v>
      </c>
      <c r="AI42" s="1" t="s">
        <v>11</v>
      </c>
      <c r="AL42" t="s">
        <v>10</v>
      </c>
      <c r="AM42" s="1" t="s">
        <v>9</v>
      </c>
      <c r="AN42" t="s">
        <v>10</v>
      </c>
      <c r="AO42" s="1" t="s">
        <v>9</v>
      </c>
      <c r="AP42" t="s">
        <v>10</v>
      </c>
      <c r="AQ42" s="1" t="s">
        <v>9</v>
      </c>
      <c r="AR42" t="s">
        <v>10</v>
      </c>
      <c r="AS42" s="1" t="s">
        <v>3</v>
      </c>
      <c r="AT42" t="s">
        <v>10</v>
      </c>
      <c r="AU42" s="1" t="s">
        <v>9</v>
      </c>
      <c r="AV42" t="s">
        <v>10</v>
      </c>
      <c r="AW42" s="1" t="s">
        <v>9</v>
      </c>
      <c r="AX42" t="s">
        <v>10</v>
      </c>
      <c r="AY42" s="1" t="s">
        <v>9</v>
      </c>
      <c r="BA42">
        <v>81</v>
      </c>
      <c r="BB42">
        <v>81</v>
      </c>
      <c r="BD42">
        <v>9</v>
      </c>
      <c r="BE42" t="s">
        <v>1</v>
      </c>
      <c r="BF42" t="s">
        <v>16</v>
      </c>
      <c r="BG42">
        <v>30.59</v>
      </c>
      <c r="BH42">
        <v>20</v>
      </c>
      <c r="BI42">
        <v>8</v>
      </c>
      <c r="BJ42">
        <v>2</v>
      </c>
      <c r="BK42">
        <v>2</v>
      </c>
      <c r="BR42" s="2"/>
    </row>
    <row r="43" spans="1:70" x14ac:dyDescent="0.55000000000000004">
      <c r="A43" t="s">
        <v>20</v>
      </c>
      <c r="B43">
        <v>42</v>
      </c>
      <c r="C43">
        <v>6</v>
      </c>
      <c r="D43">
        <v>2</v>
      </c>
      <c r="E43" s="2">
        <v>45944</v>
      </c>
      <c r="F43" t="s">
        <v>19</v>
      </c>
      <c r="G43" t="s">
        <v>12</v>
      </c>
      <c r="H43" t="s">
        <v>10</v>
      </c>
      <c r="I43" s="1" t="s">
        <v>3</v>
      </c>
      <c r="J43" t="s">
        <v>5</v>
      </c>
      <c r="K43" s="1" t="s">
        <v>3</v>
      </c>
      <c r="L43" t="s">
        <v>4</v>
      </c>
      <c r="M43" s="1" t="s">
        <v>11</v>
      </c>
      <c r="N43" t="s">
        <v>5</v>
      </c>
      <c r="O43" s="1" t="s">
        <v>3</v>
      </c>
      <c r="P43" t="s">
        <v>22</v>
      </c>
      <c r="Q43" s="1" t="s">
        <v>3</v>
      </c>
      <c r="R43" t="s">
        <v>5</v>
      </c>
      <c r="S43" s="1" t="s">
        <v>3</v>
      </c>
      <c r="T43" t="s">
        <v>5</v>
      </c>
      <c r="U43" s="1" t="s">
        <v>3</v>
      </c>
      <c r="V43" t="s">
        <v>5</v>
      </c>
      <c r="W43" t="s">
        <v>3</v>
      </c>
      <c r="X43" t="s">
        <v>5</v>
      </c>
      <c r="Y43" s="1" t="s">
        <v>3</v>
      </c>
      <c r="Z43" t="s">
        <v>5</v>
      </c>
      <c r="AA43" t="s">
        <v>3</v>
      </c>
      <c r="AB43" t="s">
        <v>5</v>
      </c>
      <c r="AC43" s="1" t="s">
        <v>3</v>
      </c>
      <c r="AD43" t="s">
        <v>5</v>
      </c>
      <c r="AE43" s="1" t="s">
        <v>3</v>
      </c>
      <c r="AF43" t="s">
        <v>5</v>
      </c>
      <c r="AG43" s="1" t="s">
        <v>3</v>
      </c>
      <c r="AH43" t="s">
        <v>5</v>
      </c>
      <c r="AI43" s="1" t="s">
        <v>3</v>
      </c>
      <c r="AL43" t="s">
        <v>5</v>
      </c>
      <c r="AM43" s="1" t="s">
        <v>3</v>
      </c>
      <c r="AN43" t="s">
        <v>5</v>
      </c>
      <c r="AO43" s="1" t="s">
        <v>3</v>
      </c>
      <c r="AP43" t="s">
        <v>5</v>
      </c>
      <c r="AQ43" s="1" t="s">
        <v>3</v>
      </c>
      <c r="AR43" t="s">
        <v>5</v>
      </c>
      <c r="AS43" s="1" t="s">
        <v>3</v>
      </c>
      <c r="AT43" t="s">
        <v>10</v>
      </c>
      <c r="AU43" s="1" t="s">
        <v>9</v>
      </c>
      <c r="AV43" t="s">
        <v>5</v>
      </c>
      <c r="AW43" s="1" t="s">
        <v>3</v>
      </c>
      <c r="AX43" t="s">
        <v>5</v>
      </c>
      <c r="AY43" s="1" t="s">
        <v>3</v>
      </c>
      <c r="BA43">
        <v>82</v>
      </c>
      <c r="BB43">
        <v>82</v>
      </c>
      <c r="BC43">
        <v>67</v>
      </c>
      <c r="BD43">
        <v>10</v>
      </c>
      <c r="BE43" t="s">
        <v>1</v>
      </c>
      <c r="BF43" t="s">
        <v>1</v>
      </c>
      <c r="BG43">
        <v>27.43</v>
      </c>
      <c r="BH43">
        <v>15</v>
      </c>
      <c r="BI43">
        <v>8</v>
      </c>
      <c r="BJ43">
        <v>2</v>
      </c>
      <c r="BK43">
        <v>2</v>
      </c>
      <c r="BR43" s="2"/>
    </row>
    <row r="44" spans="1:70" x14ac:dyDescent="0.55000000000000004">
      <c r="A44" t="s">
        <v>20</v>
      </c>
      <c r="B44">
        <v>43</v>
      </c>
      <c r="C44">
        <v>6</v>
      </c>
      <c r="D44">
        <v>3</v>
      </c>
      <c r="E44" s="2">
        <v>45944</v>
      </c>
      <c r="F44" t="s">
        <v>19</v>
      </c>
      <c r="G44" t="s">
        <v>6</v>
      </c>
      <c r="H44" t="s">
        <v>21</v>
      </c>
      <c r="I44" s="1" t="s">
        <v>3</v>
      </c>
      <c r="J44" t="s">
        <v>10</v>
      </c>
      <c r="K44" s="1" t="s">
        <v>3</v>
      </c>
      <c r="L44" t="s">
        <v>10</v>
      </c>
      <c r="M44" s="1" t="s">
        <v>3</v>
      </c>
      <c r="N44" t="s">
        <v>10</v>
      </c>
      <c r="O44" s="1" t="s">
        <v>11</v>
      </c>
      <c r="P44" t="s">
        <v>10</v>
      </c>
      <c r="Q44" s="1" t="s">
        <v>9</v>
      </c>
      <c r="R44" t="s">
        <v>10</v>
      </c>
      <c r="S44" s="1" t="s">
        <v>9</v>
      </c>
      <c r="T44" t="s">
        <v>4</v>
      </c>
      <c r="U44" s="1" t="s">
        <v>3</v>
      </c>
      <c r="V44" t="s">
        <v>4</v>
      </c>
      <c r="W44" t="s">
        <v>3</v>
      </c>
      <c r="X44" t="s">
        <v>10</v>
      </c>
      <c r="Y44" s="1" t="s">
        <v>9</v>
      </c>
      <c r="Z44" t="s">
        <v>10</v>
      </c>
      <c r="AA44" t="s">
        <v>9</v>
      </c>
      <c r="AB44" t="s">
        <v>10</v>
      </c>
      <c r="AC44" s="1" t="s">
        <v>9</v>
      </c>
      <c r="AD44" t="s">
        <v>10</v>
      </c>
      <c r="AE44" s="1" t="s">
        <v>9</v>
      </c>
      <c r="AF44" t="s">
        <v>4</v>
      </c>
      <c r="AG44" s="1" t="s">
        <v>3</v>
      </c>
      <c r="AH44" t="s">
        <v>22</v>
      </c>
      <c r="AI44" s="1" t="s">
        <v>3</v>
      </c>
      <c r="AL44" t="s">
        <v>10</v>
      </c>
      <c r="AM44" s="1" t="s">
        <v>9</v>
      </c>
      <c r="AN44" t="s">
        <v>22</v>
      </c>
      <c r="AO44" s="1" t="s">
        <v>3</v>
      </c>
      <c r="AP44" t="s">
        <v>22</v>
      </c>
      <c r="AQ44" s="1" t="s">
        <v>3</v>
      </c>
      <c r="AR44" t="s">
        <v>22</v>
      </c>
      <c r="AS44" s="1" t="s">
        <v>3</v>
      </c>
      <c r="AT44" t="s">
        <v>10</v>
      </c>
      <c r="AU44" s="1" t="s">
        <v>9</v>
      </c>
      <c r="AV44" t="s">
        <v>10</v>
      </c>
      <c r="AW44" s="1" t="s">
        <v>9</v>
      </c>
      <c r="AX44" t="s">
        <v>22</v>
      </c>
      <c r="AY44" s="1" t="s">
        <v>3</v>
      </c>
      <c r="BA44">
        <v>83</v>
      </c>
      <c r="BB44">
        <v>83</v>
      </c>
      <c r="BD44">
        <v>11</v>
      </c>
      <c r="BE44" t="s">
        <v>1</v>
      </c>
      <c r="BF44" t="s">
        <v>1</v>
      </c>
      <c r="BG44">
        <v>28.3</v>
      </c>
      <c r="BH44">
        <v>15</v>
      </c>
      <c r="BI44">
        <v>8</v>
      </c>
      <c r="BJ44">
        <v>2</v>
      </c>
      <c r="BK44">
        <v>2</v>
      </c>
      <c r="BR44" s="2"/>
    </row>
    <row r="45" spans="1:70" x14ac:dyDescent="0.55000000000000004">
      <c r="A45" t="s">
        <v>20</v>
      </c>
      <c r="B45">
        <v>44</v>
      </c>
      <c r="C45">
        <v>6</v>
      </c>
      <c r="D45">
        <v>4</v>
      </c>
      <c r="E45" s="2">
        <v>45944</v>
      </c>
      <c r="F45" t="s">
        <v>19</v>
      </c>
      <c r="G45" t="s">
        <v>13</v>
      </c>
      <c r="H45" t="s">
        <v>21</v>
      </c>
      <c r="I45" s="1" t="s">
        <v>3</v>
      </c>
      <c r="J45" t="s">
        <v>10</v>
      </c>
      <c r="K45" s="1" t="s">
        <v>3</v>
      </c>
      <c r="L45" t="s">
        <v>10</v>
      </c>
      <c r="M45" s="1" t="s">
        <v>3</v>
      </c>
      <c r="N45" t="s">
        <v>10</v>
      </c>
      <c r="O45" s="1" t="s">
        <v>11</v>
      </c>
      <c r="P45" t="s">
        <v>23</v>
      </c>
      <c r="Q45" s="1" t="s">
        <v>3</v>
      </c>
      <c r="R45" t="s">
        <v>5</v>
      </c>
      <c r="S45" s="1" t="s">
        <v>3</v>
      </c>
      <c r="T45" t="s">
        <v>5</v>
      </c>
      <c r="U45" s="1" t="s">
        <v>3</v>
      </c>
      <c r="V45" t="s">
        <v>5</v>
      </c>
      <c r="W45" t="s">
        <v>3</v>
      </c>
      <c r="X45" t="s">
        <v>5</v>
      </c>
      <c r="Y45" s="1" t="s">
        <v>3</v>
      </c>
      <c r="Z45" t="s">
        <v>5</v>
      </c>
      <c r="AA45" t="s">
        <v>3</v>
      </c>
      <c r="AB45" t="s">
        <v>5</v>
      </c>
      <c r="AC45" s="1" t="s">
        <v>3</v>
      </c>
      <c r="AD45" t="s">
        <v>23</v>
      </c>
      <c r="AE45" s="1" t="s">
        <v>3</v>
      </c>
      <c r="AF45" t="s">
        <v>4</v>
      </c>
      <c r="AG45" s="1" t="s">
        <v>3</v>
      </c>
      <c r="AH45" t="s">
        <v>10</v>
      </c>
      <c r="AI45" s="1" t="s">
        <v>9</v>
      </c>
      <c r="AL45" t="s">
        <v>21</v>
      </c>
      <c r="AM45" s="1" t="s">
        <v>3</v>
      </c>
      <c r="AN45" t="s">
        <v>10</v>
      </c>
      <c r="AO45" s="1" t="s">
        <v>9</v>
      </c>
      <c r="AP45" t="s">
        <v>10</v>
      </c>
      <c r="AQ45" s="1" t="s">
        <v>3</v>
      </c>
      <c r="AR45" t="s">
        <v>10</v>
      </c>
      <c r="AS45" s="1" t="s">
        <v>11</v>
      </c>
      <c r="AT45" t="s">
        <v>10</v>
      </c>
      <c r="AU45" s="1" t="s">
        <v>3</v>
      </c>
      <c r="AV45" t="s">
        <v>10</v>
      </c>
      <c r="AW45" s="1" t="s">
        <v>9</v>
      </c>
      <c r="AX45" t="s">
        <v>4</v>
      </c>
      <c r="AY45" s="1" t="s">
        <v>3</v>
      </c>
      <c r="BA45">
        <v>84</v>
      </c>
      <c r="BB45">
        <v>84</v>
      </c>
      <c r="BD45">
        <v>12</v>
      </c>
      <c r="BE45" t="s">
        <v>1</v>
      </c>
      <c r="BF45" t="s">
        <v>1</v>
      </c>
      <c r="BG45">
        <v>25.2</v>
      </c>
      <c r="BH45">
        <v>11</v>
      </c>
      <c r="BI45">
        <v>8</v>
      </c>
      <c r="BJ45">
        <v>2</v>
      </c>
      <c r="BK45">
        <v>2</v>
      </c>
      <c r="BL45" t="s">
        <v>15</v>
      </c>
      <c r="BR45" s="2"/>
    </row>
    <row r="46" spans="1:70" x14ac:dyDescent="0.55000000000000004">
      <c r="A46" t="s">
        <v>20</v>
      </c>
      <c r="B46">
        <v>45</v>
      </c>
      <c r="C46">
        <v>6</v>
      </c>
      <c r="D46">
        <v>5</v>
      </c>
      <c r="E46" s="2">
        <v>45944</v>
      </c>
      <c r="F46" t="s">
        <v>19</v>
      </c>
      <c r="G46" t="s">
        <v>12</v>
      </c>
      <c r="H46" t="s">
        <v>4</v>
      </c>
      <c r="I46" s="1" t="s">
        <v>11</v>
      </c>
      <c r="J46" t="s">
        <v>10</v>
      </c>
      <c r="K46" s="1" t="s">
        <v>3</v>
      </c>
      <c r="L46" t="s">
        <v>10</v>
      </c>
      <c r="M46" s="1" t="s">
        <v>3</v>
      </c>
      <c r="N46" t="s">
        <v>10</v>
      </c>
      <c r="O46" s="1" t="s">
        <v>3</v>
      </c>
      <c r="P46" t="s">
        <v>10</v>
      </c>
      <c r="Q46" s="1" t="s">
        <v>3</v>
      </c>
      <c r="R46" t="s">
        <v>10</v>
      </c>
      <c r="S46" s="1" t="s">
        <v>3</v>
      </c>
      <c r="T46" t="s">
        <v>10</v>
      </c>
      <c r="U46" s="1" t="s">
        <v>3</v>
      </c>
      <c r="V46" t="s">
        <v>10</v>
      </c>
      <c r="W46" t="s">
        <v>3</v>
      </c>
      <c r="X46" t="s">
        <v>10</v>
      </c>
      <c r="Y46" s="1" t="s">
        <v>3</v>
      </c>
      <c r="Z46" t="s">
        <v>10</v>
      </c>
      <c r="AA46" t="s">
        <v>3</v>
      </c>
      <c r="AB46" t="s">
        <v>10</v>
      </c>
      <c r="AC46" s="1" t="s">
        <v>3</v>
      </c>
      <c r="AD46" t="s">
        <v>10</v>
      </c>
      <c r="AE46" s="1" t="s">
        <v>3</v>
      </c>
      <c r="AF46" t="s">
        <v>4</v>
      </c>
      <c r="AG46" s="1" t="s">
        <v>3</v>
      </c>
      <c r="AH46" t="s">
        <v>4</v>
      </c>
      <c r="AI46" s="1" t="s">
        <v>3</v>
      </c>
      <c r="AL46" t="s">
        <v>5</v>
      </c>
      <c r="AM46" s="1" t="s">
        <v>3</v>
      </c>
      <c r="AN46" t="s">
        <v>5</v>
      </c>
      <c r="AO46" s="1" t="s">
        <v>3</v>
      </c>
      <c r="AP46" t="s">
        <v>5</v>
      </c>
      <c r="AQ46" s="1" t="s">
        <v>3</v>
      </c>
      <c r="AR46" t="s">
        <v>5</v>
      </c>
      <c r="AS46" s="1" t="s">
        <v>3</v>
      </c>
      <c r="AT46" t="s">
        <v>5</v>
      </c>
      <c r="AU46" s="1" t="s">
        <v>3</v>
      </c>
      <c r="AV46" t="s">
        <v>5</v>
      </c>
      <c r="AW46" s="1" t="s">
        <v>3</v>
      </c>
      <c r="AX46" t="s">
        <v>5</v>
      </c>
      <c r="AY46" s="1" t="s">
        <v>3</v>
      </c>
      <c r="BA46">
        <v>85</v>
      </c>
      <c r="BB46">
        <v>85</v>
      </c>
      <c r="BC46">
        <v>85</v>
      </c>
      <c r="BD46">
        <v>13</v>
      </c>
      <c r="BE46" t="s">
        <v>1</v>
      </c>
      <c r="BF46" t="s">
        <v>1</v>
      </c>
      <c r="BG46">
        <v>29.1</v>
      </c>
      <c r="BH46">
        <v>13</v>
      </c>
      <c r="BI46">
        <v>7</v>
      </c>
      <c r="BJ46">
        <v>1</v>
      </c>
      <c r="BK46">
        <v>2</v>
      </c>
      <c r="BL46" t="s">
        <v>15</v>
      </c>
      <c r="BR46" s="2">
        <v>45943</v>
      </c>
    </row>
    <row r="47" spans="1:70" x14ac:dyDescent="0.55000000000000004">
      <c r="A47" t="s">
        <v>20</v>
      </c>
      <c r="B47">
        <v>46</v>
      </c>
      <c r="C47">
        <v>6</v>
      </c>
      <c r="D47">
        <v>6</v>
      </c>
      <c r="E47" s="2">
        <v>45944</v>
      </c>
      <c r="F47" t="s">
        <v>19</v>
      </c>
      <c r="G47" t="s">
        <v>6</v>
      </c>
      <c r="H47" t="s">
        <v>22</v>
      </c>
      <c r="I47" s="1" t="s">
        <v>3</v>
      </c>
      <c r="J47" t="s">
        <v>23</v>
      </c>
      <c r="K47" s="1" t="s">
        <v>3</v>
      </c>
      <c r="L47" t="s">
        <v>10</v>
      </c>
      <c r="M47" s="1" t="s">
        <v>11</v>
      </c>
      <c r="N47" t="s">
        <v>10</v>
      </c>
      <c r="O47" s="1" t="s">
        <v>9</v>
      </c>
      <c r="P47" t="s">
        <v>4</v>
      </c>
      <c r="Q47" s="1" t="s">
        <v>3</v>
      </c>
      <c r="R47" t="s">
        <v>10</v>
      </c>
      <c r="S47" s="1" t="s">
        <v>9</v>
      </c>
      <c r="T47" t="s">
        <v>22</v>
      </c>
      <c r="U47" s="1" t="s">
        <v>3</v>
      </c>
      <c r="V47" t="s">
        <v>22</v>
      </c>
      <c r="W47" t="s">
        <v>3</v>
      </c>
      <c r="X47" t="s">
        <v>22</v>
      </c>
      <c r="Y47" s="1" t="s">
        <v>3</v>
      </c>
      <c r="Z47" t="s">
        <v>22</v>
      </c>
      <c r="AA47" t="s">
        <v>3</v>
      </c>
      <c r="AB47" t="s">
        <v>5</v>
      </c>
      <c r="AC47" s="1" t="s">
        <v>3</v>
      </c>
      <c r="AD47" t="s">
        <v>4</v>
      </c>
      <c r="AE47" s="1" t="s">
        <v>3</v>
      </c>
      <c r="AF47" t="s">
        <v>22</v>
      </c>
      <c r="AG47" s="1" t="s">
        <v>3</v>
      </c>
      <c r="AH47" t="s">
        <v>22</v>
      </c>
      <c r="AI47" s="1" t="s">
        <v>3</v>
      </c>
      <c r="AL47" t="s">
        <v>22</v>
      </c>
      <c r="AM47" s="1" t="s">
        <v>3</v>
      </c>
      <c r="AN47" t="s">
        <v>22</v>
      </c>
      <c r="AO47" s="1" t="s">
        <v>3</v>
      </c>
      <c r="AP47" t="s">
        <v>22</v>
      </c>
      <c r="AQ47" s="1" t="s">
        <v>3</v>
      </c>
      <c r="AR47" t="s">
        <v>22</v>
      </c>
      <c r="AS47" s="1" t="s">
        <v>3</v>
      </c>
      <c r="AT47" t="s">
        <v>22</v>
      </c>
      <c r="AU47" s="1" t="s">
        <v>3</v>
      </c>
      <c r="AV47" t="s">
        <v>22</v>
      </c>
      <c r="AW47" s="1" t="s">
        <v>3</v>
      </c>
      <c r="AX47" t="s">
        <v>22</v>
      </c>
      <c r="AY47" s="1" t="s">
        <v>3</v>
      </c>
      <c r="BA47">
        <v>55</v>
      </c>
      <c r="BB47">
        <v>86</v>
      </c>
      <c r="BC47">
        <v>29</v>
      </c>
      <c r="BD47">
        <v>14</v>
      </c>
      <c r="BE47" t="s">
        <v>1</v>
      </c>
      <c r="BF47" t="s">
        <v>16</v>
      </c>
      <c r="BG47">
        <v>30.95</v>
      </c>
      <c r="BH47">
        <v>19</v>
      </c>
      <c r="BI47">
        <v>8</v>
      </c>
      <c r="BJ47">
        <v>2</v>
      </c>
      <c r="BK47">
        <v>2</v>
      </c>
      <c r="BR47" s="2"/>
    </row>
    <row r="48" spans="1:70" x14ac:dyDescent="0.55000000000000004">
      <c r="A48" t="s">
        <v>20</v>
      </c>
      <c r="B48">
        <v>47</v>
      </c>
      <c r="C48">
        <v>6</v>
      </c>
      <c r="D48">
        <v>7</v>
      </c>
      <c r="E48" s="2">
        <v>45944</v>
      </c>
      <c r="F48" t="s">
        <v>19</v>
      </c>
      <c r="G48" t="s">
        <v>13</v>
      </c>
      <c r="H48" t="s">
        <v>4</v>
      </c>
      <c r="I48" s="1" t="s">
        <v>24</v>
      </c>
      <c r="J48" t="s">
        <v>4</v>
      </c>
      <c r="K48" s="1" t="s">
        <v>11</v>
      </c>
      <c r="L48" t="s">
        <v>22</v>
      </c>
      <c r="M48" s="1" t="s">
        <v>3</v>
      </c>
      <c r="N48" t="s">
        <v>4</v>
      </c>
      <c r="O48" s="1" t="s">
        <v>3</v>
      </c>
      <c r="P48" t="s">
        <v>10</v>
      </c>
      <c r="Q48" s="1" t="s">
        <v>3</v>
      </c>
      <c r="R48" t="s">
        <v>10</v>
      </c>
      <c r="S48" s="1" t="s">
        <v>3</v>
      </c>
      <c r="T48" t="s">
        <v>10</v>
      </c>
      <c r="U48" s="1" t="s">
        <v>11</v>
      </c>
      <c r="V48" t="s">
        <v>10</v>
      </c>
      <c r="W48" t="s">
        <v>3</v>
      </c>
      <c r="X48" t="s">
        <v>4</v>
      </c>
      <c r="Y48" s="1" t="s">
        <v>11</v>
      </c>
      <c r="Z48" t="s">
        <v>4</v>
      </c>
      <c r="AA48" t="s">
        <v>3</v>
      </c>
      <c r="AB48" t="s">
        <v>10</v>
      </c>
      <c r="AC48" s="1" t="s">
        <v>11</v>
      </c>
      <c r="AD48" t="s">
        <v>10</v>
      </c>
      <c r="AE48" s="1" t="s">
        <v>9</v>
      </c>
      <c r="AF48" t="s">
        <v>10</v>
      </c>
      <c r="AG48" s="1" t="s">
        <v>9</v>
      </c>
      <c r="AH48" t="s">
        <v>10</v>
      </c>
      <c r="AI48" s="1" t="s">
        <v>3</v>
      </c>
      <c r="AL48" t="s">
        <v>4</v>
      </c>
      <c r="AM48" s="1" t="s">
        <v>3</v>
      </c>
      <c r="AN48" t="s">
        <v>4</v>
      </c>
      <c r="AO48" s="1" t="s">
        <v>3</v>
      </c>
      <c r="AP48" t="s">
        <v>4</v>
      </c>
      <c r="AQ48" s="1" t="s">
        <v>3</v>
      </c>
      <c r="AR48" t="s">
        <v>10</v>
      </c>
      <c r="AS48" s="1" t="s">
        <v>9</v>
      </c>
      <c r="AT48" t="s">
        <v>10</v>
      </c>
      <c r="AU48" s="1" t="s">
        <v>11</v>
      </c>
      <c r="AV48" t="s">
        <v>10</v>
      </c>
      <c r="AW48" s="1" t="s">
        <v>9</v>
      </c>
      <c r="AX48" t="s">
        <v>10</v>
      </c>
      <c r="AY48" s="1" t="s">
        <v>9</v>
      </c>
      <c r="BA48">
        <v>87</v>
      </c>
      <c r="BB48">
        <v>87</v>
      </c>
      <c r="BD48">
        <v>15</v>
      </c>
      <c r="BE48" t="s">
        <v>1</v>
      </c>
      <c r="BF48" t="s">
        <v>0</v>
      </c>
      <c r="BG48">
        <v>21.26</v>
      </c>
      <c r="BH48">
        <v>7</v>
      </c>
      <c r="BI48">
        <v>6</v>
      </c>
      <c r="BJ48">
        <v>2</v>
      </c>
      <c r="BK48">
        <v>2</v>
      </c>
      <c r="BR48" s="2"/>
    </row>
    <row r="49" spans="1:70" x14ac:dyDescent="0.55000000000000004">
      <c r="A49" t="s">
        <v>20</v>
      </c>
      <c r="B49">
        <v>48</v>
      </c>
      <c r="C49">
        <v>6</v>
      </c>
      <c r="D49">
        <v>8</v>
      </c>
      <c r="E49" s="2">
        <v>45944</v>
      </c>
      <c r="F49" t="s">
        <v>19</v>
      </c>
      <c r="G49" t="s">
        <v>12</v>
      </c>
      <c r="H49" t="s">
        <v>4</v>
      </c>
      <c r="I49" s="1" t="s">
        <v>24</v>
      </c>
      <c r="J49" t="s">
        <v>5</v>
      </c>
      <c r="K49" s="1" t="s">
        <v>3</v>
      </c>
      <c r="L49" t="s">
        <v>10</v>
      </c>
      <c r="M49" s="1" t="s">
        <v>11</v>
      </c>
      <c r="N49" t="s">
        <v>10</v>
      </c>
      <c r="O49" s="1" t="s">
        <v>11</v>
      </c>
      <c r="P49" t="s">
        <v>10</v>
      </c>
      <c r="Q49" s="1" t="s">
        <v>11</v>
      </c>
      <c r="R49" t="s">
        <v>5</v>
      </c>
      <c r="S49" s="1" t="s">
        <v>3</v>
      </c>
      <c r="T49" t="s">
        <v>5</v>
      </c>
      <c r="U49" s="1" t="s">
        <v>3</v>
      </c>
      <c r="V49" t="s">
        <v>5</v>
      </c>
      <c r="W49" t="s">
        <v>3</v>
      </c>
      <c r="X49" t="s">
        <v>5</v>
      </c>
      <c r="Y49" s="1" t="s">
        <v>3</v>
      </c>
      <c r="Z49" t="s">
        <v>5</v>
      </c>
      <c r="AA49" t="s">
        <v>3</v>
      </c>
      <c r="AB49" t="s">
        <v>5</v>
      </c>
      <c r="AC49" s="1" t="s">
        <v>3</v>
      </c>
      <c r="AD49" t="s">
        <v>5</v>
      </c>
      <c r="AE49" s="1" t="s">
        <v>3</v>
      </c>
      <c r="AF49" t="s">
        <v>5</v>
      </c>
      <c r="AG49" s="1" t="s">
        <v>3</v>
      </c>
      <c r="AH49" t="s">
        <v>5</v>
      </c>
      <c r="AI49" s="1" t="s">
        <v>3</v>
      </c>
      <c r="AL49" t="s">
        <v>4</v>
      </c>
      <c r="AM49" s="1" t="s">
        <v>11</v>
      </c>
      <c r="AN49" t="s">
        <v>5</v>
      </c>
      <c r="AO49" s="1" t="s">
        <v>3</v>
      </c>
      <c r="AP49" t="s">
        <v>5</v>
      </c>
      <c r="AQ49" s="1" t="s">
        <v>3</v>
      </c>
      <c r="AR49" t="s">
        <v>5</v>
      </c>
      <c r="AS49" s="1" t="s">
        <v>3</v>
      </c>
      <c r="AT49" t="s">
        <v>5</v>
      </c>
      <c r="AU49" s="1" t="s">
        <v>3</v>
      </c>
      <c r="AV49" t="s">
        <v>5</v>
      </c>
      <c r="AW49" s="1" t="s">
        <v>3</v>
      </c>
      <c r="AX49" t="s">
        <v>5</v>
      </c>
      <c r="AY49" s="1" t="s">
        <v>3</v>
      </c>
      <c r="BA49">
        <v>70</v>
      </c>
      <c r="BB49">
        <v>88</v>
      </c>
      <c r="BC49">
        <v>70</v>
      </c>
      <c r="BD49">
        <v>16</v>
      </c>
      <c r="BE49" t="s">
        <v>1</v>
      </c>
      <c r="BF49" t="s">
        <v>1</v>
      </c>
      <c r="BG49">
        <v>25.99</v>
      </c>
      <c r="BH49">
        <v>13</v>
      </c>
      <c r="BI49">
        <v>8</v>
      </c>
      <c r="BJ49">
        <v>2</v>
      </c>
      <c r="BK49">
        <v>2</v>
      </c>
      <c r="BR49" s="2"/>
    </row>
    <row r="50" spans="1:70" x14ac:dyDescent="0.55000000000000004">
      <c r="A50" t="s">
        <v>20</v>
      </c>
      <c r="B50">
        <v>49</v>
      </c>
      <c r="C50">
        <v>7</v>
      </c>
      <c r="D50">
        <v>1</v>
      </c>
      <c r="E50" s="2">
        <v>45945</v>
      </c>
      <c r="F50" t="s">
        <v>19</v>
      </c>
      <c r="G50" t="s">
        <v>6</v>
      </c>
      <c r="H50" t="s">
        <v>4</v>
      </c>
      <c r="I50" s="1" t="s">
        <v>11</v>
      </c>
      <c r="J50" t="s">
        <v>10</v>
      </c>
      <c r="K50" s="1" t="s">
        <v>3</v>
      </c>
      <c r="L50" t="s">
        <v>10</v>
      </c>
      <c r="M50" s="1" t="s">
        <v>3</v>
      </c>
      <c r="N50" t="s">
        <v>22</v>
      </c>
      <c r="O50" s="1" t="s">
        <v>3</v>
      </c>
      <c r="P50" t="s">
        <v>22</v>
      </c>
      <c r="Q50" s="1" t="s">
        <v>3</v>
      </c>
      <c r="R50" t="s">
        <v>5</v>
      </c>
      <c r="S50" s="1" t="s">
        <v>3</v>
      </c>
      <c r="T50" t="s">
        <v>5</v>
      </c>
      <c r="U50" s="1" t="s">
        <v>3</v>
      </c>
      <c r="V50" t="s">
        <v>5</v>
      </c>
      <c r="W50" t="s">
        <v>3</v>
      </c>
      <c r="X50" t="s">
        <v>5</v>
      </c>
      <c r="Y50" s="1" t="s">
        <v>3</v>
      </c>
      <c r="Z50" t="s">
        <v>5</v>
      </c>
      <c r="AA50" t="s">
        <v>3</v>
      </c>
      <c r="AB50" t="s">
        <v>5</v>
      </c>
      <c r="AC50" s="1" t="s">
        <v>3</v>
      </c>
      <c r="AD50" t="s">
        <v>5</v>
      </c>
      <c r="AE50" s="1" t="s">
        <v>3</v>
      </c>
      <c r="AF50" t="s">
        <v>5</v>
      </c>
      <c r="AG50" s="1" t="s">
        <v>3</v>
      </c>
      <c r="AH50" t="s">
        <v>10</v>
      </c>
      <c r="AI50" s="1" t="s">
        <v>9</v>
      </c>
      <c r="AL50" t="s">
        <v>10</v>
      </c>
      <c r="AM50" s="1" t="s">
        <v>9</v>
      </c>
      <c r="AN50" t="s">
        <v>10</v>
      </c>
      <c r="AO50" s="1" t="s">
        <v>9</v>
      </c>
      <c r="AP50" t="s">
        <v>10</v>
      </c>
      <c r="AQ50" s="1" t="s">
        <v>9</v>
      </c>
      <c r="AR50" t="s">
        <v>10</v>
      </c>
      <c r="AS50" s="1" t="s">
        <v>9</v>
      </c>
      <c r="AT50" t="s">
        <v>10</v>
      </c>
      <c r="AU50" s="1" t="s">
        <v>9</v>
      </c>
      <c r="AV50" t="s">
        <v>10</v>
      </c>
      <c r="AW50" s="1" t="s">
        <v>3</v>
      </c>
      <c r="AX50" t="s">
        <v>21</v>
      </c>
      <c r="AY50" s="1" t="s">
        <v>3</v>
      </c>
      <c r="BA50">
        <v>89</v>
      </c>
      <c r="BB50">
        <v>89</v>
      </c>
      <c r="BD50">
        <v>1</v>
      </c>
      <c r="BE50" t="s">
        <v>1</v>
      </c>
      <c r="BF50" t="s">
        <v>1</v>
      </c>
      <c r="BG50">
        <v>27.28</v>
      </c>
      <c r="BH50">
        <v>12</v>
      </c>
      <c r="BI50">
        <v>8</v>
      </c>
      <c r="BJ50">
        <v>1</v>
      </c>
      <c r="BK50">
        <v>2</v>
      </c>
      <c r="BR50" s="2"/>
    </row>
    <row r="51" spans="1:70" x14ac:dyDescent="0.55000000000000004">
      <c r="A51" t="s">
        <v>20</v>
      </c>
      <c r="B51">
        <v>50</v>
      </c>
      <c r="C51">
        <v>7</v>
      </c>
      <c r="D51">
        <v>2</v>
      </c>
      <c r="E51" s="2">
        <v>45945</v>
      </c>
      <c r="F51" t="s">
        <v>19</v>
      </c>
      <c r="G51" t="s">
        <v>13</v>
      </c>
      <c r="H51" t="s">
        <v>5</v>
      </c>
      <c r="I51" s="1" t="s">
        <v>3</v>
      </c>
      <c r="J51" t="s">
        <v>5</v>
      </c>
      <c r="K51" s="1" t="s">
        <v>3</v>
      </c>
      <c r="L51" t="s">
        <v>5</v>
      </c>
      <c r="M51" s="1" t="s">
        <v>3</v>
      </c>
      <c r="N51" t="s">
        <v>5</v>
      </c>
      <c r="O51" s="1" t="s">
        <v>3</v>
      </c>
      <c r="P51" t="s">
        <v>5</v>
      </c>
      <c r="Q51" s="1" t="s">
        <v>3</v>
      </c>
      <c r="R51" t="s">
        <v>5</v>
      </c>
      <c r="S51" s="1" t="s">
        <v>3</v>
      </c>
      <c r="T51" t="s">
        <v>5</v>
      </c>
      <c r="U51" s="1" t="s">
        <v>3</v>
      </c>
      <c r="V51" t="s">
        <v>5</v>
      </c>
      <c r="W51" t="s">
        <v>3</v>
      </c>
      <c r="X51" t="s">
        <v>5</v>
      </c>
      <c r="Y51" s="1" t="s">
        <v>3</v>
      </c>
      <c r="Z51" t="s">
        <v>5</v>
      </c>
      <c r="AA51" t="s">
        <v>3</v>
      </c>
      <c r="AB51" t="s">
        <v>5</v>
      </c>
      <c r="AC51" s="1" t="s">
        <v>3</v>
      </c>
      <c r="AD51" t="s">
        <v>5</v>
      </c>
      <c r="AE51" s="1" t="s">
        <v>3</v>
      </c>
      <c r="AF51" t="s">
        <v>5</v>
      </c>
      <c r="AG51" s="1" t="s">
        <v>3</v>
      </c>
      <c r="AH51" t="s">
        <v>5</v>
      </c>
      <c r="AI51" s="1" t="s">
        <v>3</v>
      </c>
      <c r="AL51" t="s">
        <v>5</v>
      </c>
      <c r="AM51" s="1" t="s">
        <v>3</v>
      </c>
      <c r="AN51" t="s">
        <v>5</v>
      </c>
      <c r="AO51" s="1" t="s">
        <v>3</v>
      </c>
      <c r="AP51" t="s">
        <v>5</v>
      </c>
      <c r="AQ51" s="1" t="s">
        <v>3</v>
      </c>
      <c r="AR51" t="s">
        <v>5</v>
      </c>
      <c r="AS51" s="1" t="s">
        <v>3</v>
      </c>
      <c r="AT51" t="s">
        <v>5</v>
      </c>
      <c r="AU51" s="1" t="s">
        <v>3</v>
      </c>
      <c r="AV51" t="s">
        <v>5</v>
      </c>
      <c r="AW51" s="1" t="s">
        <v>3</v>
      </c>
      <c r="AX51" t="s">
        <v>5</v>
      </c>
      <c r="AY51" s="1" t="s">
        <v>3</v>
      </c>
      <c r="BA51">
        <v>90</v>
      </c>
      <c r="BB51">
        <v>90</v>
      </c>
      <c r="BD51">
        <v>2</v>
      </c>
      <c r="BE51" t="s">
        <v>1</v>
      </c>
      <c r="BF51" t="s">
        <v>16</v>
      </c>
      <c r="BG51">
        <v>31.72</v>
      </c>
      <c r="BH51">
        <v>19</v>
      </c>
      <c r="BI51">
        <v>7</v>
      </c>
      <c r="BJ51">
        <v>2</v>
      </c>
      <c r="BK51">
        <v>2</v>
      </c>
      <c r="BR51" s="2"/>
    </row>
    <row r="52" spans="1:70" x14ac:dyDescent="0.55000000000000004">
      <c r="A52" t="s">
        <v>20</v>
      </c>
      <c r="B52">
        <v>51</v>
      </c>
      <c r="C52">
        <v>7</v>
      </c>
      <c r="D52">
        <v>3</v>
      </c>
      <c r="E52" s="2">
        <v>45945</v>
      </c>
      <c r="F52" t="s">
        <v>19</v>
      </c>
      <c r="G52" t="s">
        <v>12</v>
      </c>
      <c r="H52" t="s">
        <v>5</v>
      </c>
      <c r="I52" s="1" t="s">
        <v>3</v>
      </c>
      <c r="J52" t="s">
        <v>5</v>
      </c>
      <c r="K52" s="1" t="s">
        <v>3</v>
      </c>
      <c r="L52" t="s">
        <v>23</v>
      </c>
      <c r="M52" s="1" t="s">
        <v>3</v>
      </c>
      <c r="N52" t="s">
        <v>5</v>
      </c>
      <c r="O52" s="1" t="s">
        <v>3</v>
      </c>
      <c r="P52" t="s">
        <v>5</v>
      </c>
      <c r="Q52" s="1" t="s">
        <v>3</v>
      </c>
      <c r="R52" t="s">
        <v>5</v>
      </c>
      <c r="S52" s="1" t="s">
        <v>3</v>
      </c>
      <c r="T52" t="s">
        <v>5</v>
      </c>
      <c r="U52" s="1" t="s">
        <v>3</v>
      </c>
      <c r="V52" t="s">
        <v>5</v>
      </c>
      <c r="W52" t="s">
        <v>3</v>
      </c>
      <c r="X52" t="s">
        <v>5</v>
      </c>
      <c r="Y52" s="1" t="s">
        <v>3</v>
      </c>
      <c r="Z52" t="s">
        <v>5</v>
      </c>
      <c r="AA52" t="s">
        <v>3</v>
      </c>
      <c r="AB52" t="s">
        <v>5</v>
      </c>
      <c r="AC52" s="1" t="s">
        <v>3</v>
      </c>
      <c r="AD52" t="s">
        <v>5</v>
      </c>
      <c r="AE52" s="1" t="s">
        <v>3</v>
      </c>
      <c r="AF52" t="s">
        <v>5</v>
      </c>
      <c r="AG52" s="1" t="s">
        <v>3</v>
      </c>
      <c r="AH52" t="s">
        <v>5</v>
      </c>
      <c r="AI52" s="1" t="s">
        <v>3</v>
      </c>
      <c r="AL52" t="s">
        <v>5</v>
      </c>
      <c r="AM52" s="1" t="s">
        <v>3</v>
      </c>
      <c r="AN52" t="s">
        <v>5</v>
      </c>
      <c r="AO52" s="1" t="s">
        <v>3</v>
      </c>
      <c r="AP52" t="s">
        <v>5</v>
      </c>
      <c r="AQ52" s="1" t="s">
        <v>3</v>
      </c>
      <c r="AR52" t="s">
        <v>5</v>
      </c>
      <c r="AS52" s="1" t="s">
        <v>3</v>
      </c>
      <c r="AT52" t="s">
        <v>5</v>
      </c>
      <c r="AU52" s="1" t="s">
        <v>3</v>
      </c>
      <c r="AV52" t="s">
        <v>5</v>
      </c>
      <c r="AW52" s="1" t="s">
        <v>3</v>
      </c>
      <c r="AX52" t="s">
        <v>5</v>
      </c>
      <c r="AY52" s="1" t="s">
        <v>3</v>
      </c>
      <c r="BA52">
        <v>91</v>
      </c>
      <c r="BB52">
        <v>91</v>
      </c>
      <c r="BD52">
        <v>3</v>
      </c>
      <c r="BE52" t="s">
        <v>1</v>
      </c>
      <c r="BF52" t="s">
        <v>0</v>
      </c>
      <c r="BG52">
        <v>22.71</v>
      </c>
      <c r="BH52">
        <v>6</v>
      </c>
      <c r="BI52">
        <v>8</v>
      </c>
      <c r="BJ52">
        <v>1</v>
      </c>
      <c r="BK52">
        <v>2</v>
      </c>
      <c r="BR52" s="2"/>
    </row>
    <row r="53" spans="1:70" x14ac:dyDescent="0.55000000000000004">
      <c r="A53" t="s">
        <v>20</v>
      </c>
      <c r="B53">
        <v>52</v>
      </c>
      <c r="C53">
        <v>7</v>
      </c>
      <c r="D53">
        <v>4</v>
      </c>
      <c r="E53" s="2">
        <v>45945</v>
      </c>
      <c r="F53" t="s">
        <v>19</v>
      </c>
      <c r="G53" t="s">
        <v>6</v>
      </c>
      <c r="H53" t="s">
        <v>21</v>
      </c>
      <c r="I53" s="1" t="s">
        <v>11</v>
      </c>
      <c r="J53" t="s">
        <v>10</v>
      </c>
      <c r="K53" s="1" t="s">
        <v>9</v>
      </c>
      <c r="L53" t="s">
        <v>4</v>
      </c>
      <c r="M53" s="1" t="s">
        <v>3</v>
      </c>
      <c r="N53" t="s">
        <v>10</v>
      </c>
      <c r="O53" s="1" t="s">
        <v>9</v>
      </c>
      <c r="P53" t="s">
        <v>10</v>
      </c>
      <c r="Q53" s="1" t="s">
        <v>9</v>
      </c>
      <c r="R53" t="s">
        <v>10</v>
      </c>
      <c r="S53" s="1" t="s">
        <v>9</v>
      </c>
      <c r="T53" t="s">
        <v>10</v>
      </c>
      <c r="U53" s="1" t="s">
        <v>9</v>
      </c>
      <c r="V53" t="s">
        <v>10</v>
      </c>
      <c r="W53" t="s">
        <v>9</v>
      </c>
      <c r="X53" t="s">
        <v>10</v>
      </c>
      <c r="Y53" s="1" t="s">
        <v>9</v>
      </c>
      <c r="Z53" t="s">
        <v>10</v>
      </c>
      <c r="AA53" t="s">
        <v>9</v>
      </c>
      <c r="AB53" t="s">
        <v>10</v>
      </c>
      <c r="AC53" s="1" t="s">
        <v>9</v>
      </c>
      <c r="AD53" t="s">
        <v>10</v>
      </c>
      <c r="AE53" s="1" t="s">
        <v>9</v>
      </c>
      <c r="AF53" t="s">
        <v>10</v>
      </c>
      <c r="AG53" s="1" t="s">
        <v>9</v>
      </c>
      <c r="AH53" t="s">
        <v>10</v>
      </c>
      <c r="AI53" s="1" t="s">
        <v>9</v>
      </c>
      <c r="AL53" t="s">
        <v>10</v>
      </c>
      <c r="AM53" s="1" t="s">
        <v>9</v>
      </c>
      <c r="AN53" t="s">
        <v>10</v>
      </c>
      <c r="AO53" s="1" t="s">
        <v>9</v>
      </c>
      <c r="AP53" t="s">
        <v>10</v>
      </c>
      <c r="AQ53" s="1" t="s">
        <v>9</v>
      </c>
      <c r="AR53" t="s">
        <v>10</v>
      </c>
      <c r="AS53" s="1" t="s">
        <v>9</v>
      </c>
      <c r="AT53" t="s">
        <v>10</v>
      </c>
      <c r="AU53" s="1" t="s">
        <v>9</v>
      </c>
      <c r="AV53" t="s">
        <v>10</v>
      </c>
      <c r="AW53" s="1" t="s">
        <v>9</v>
      </c>
      <c r="AX53" t="s">
        <v>10</v>
      </c>
      <c r="AY53" s="1" t="s">
        <v>9</v>
      </c>
      <c r="BA53">
        <v>92</v>
      </c>
      <c r="BB53">
        <v>92</v>
      </c>
      <c r="BD53">
        <v>4</v>
      </c>
      <c r="BE53" t="s">
        <v>1</v>
      </c>
      <c r="BF53" t="s">
        <v>0</v>
      </c>
      <c r="BG53">
        <v>20.97</v>
      </c>
      <c r="BH53">
        <v>5</v>
      </c>
      <c r="BI53">
        <v>8</v>
      </c>
      <c r="BJ53">
        <v>1</v>
      </c>
      <c r="BK53">
        <v>2</v>
      </c>
      <c r="BR53" s="2"/>
    </row>
    <row r="54" spans="1:70" x14ac:dyDescent="0.55000000000000004">
      <c r="A54" t="s">
        <v>20</v>
      </c>
      <c r="B54">
        <v>53</v>
      </c>
      <c r="C54">
        <v>7</v>
      </c>
      <c r="D54">
        <v>5</v>
      </c>
      <c r="E54" s="2">
        <v>45945</v>
      </c>
      <c r="F54" t="s">
        <v>19</v>
      </c>
      <c r="G54" t="s">
        <v>13</v>
      </c>
      <c r="H54" t="s">
        <v>22</v>
      </c>
      <c r="I54" s="1" t="s">
        <v>3</v>
      </c>
      <c r="J54" t="s">
        <v>4</v>
      </c>
      <c r="K54" s="1" t="s">
        <v>3</v>
      </c>
      <c r="L54" t="s">
        <v>4</v>
      </c>
      <c r="M54" s="1" t="s">
        <v>3</v>
      </c>
      <c r="N54" t="s">
        <v>22</v>
      </c>
      <c r="O54" s="1" t="s">
        <v>3</v>
      </c>
      <c r="P54" t="s">
        <v>22</v>
      </c>
      <c r="Q54" s="1" t="s">
        <v>3</v>
      </c>
      <c r="R54" t="s">
        <v>22</v>
      </c>
      <c r="S54" s="1" t="s">
        <v>3</v>
      </c>
      <c r="T54" t="s">
        <v>22</v>
      </c>
      <c r="U54" s="1" t="s">
        <v>3</v>
      </c>
      <c r="V54" t="s">
        <v>22</v>
      </c>
      <c r="W54" t="s">
        <v>3</v>
      </c>
      <c r="X54" t="s">
        <v>22</v>
      </c>
      <c r="Y54" s="1" t="s">
        <v>3</v>
      </c>
      <c r="Z54" t="s">
        <v>22</v>
      </c>
      <c r="AA54" t="s">
        <v>3</v>
      </c>
      <c r="AB54" t="s">
        <v>22</v>
      </c>
      <c r="AC54" s="1" t="s">
        <v>3</v>
      </c>
      <c r="AD54" t="s">
        <v>22</v>
      </c>
      <c r="AE54" s="1" t="s">
        <v>3</v>
      </c>
      <c r="AF54" t="s">
        <v>22</v>
      </c>
      <c r="AG54" s="1" t="s">
        <v>3</v>
      </c>
      <c r="AH54" t="s">
        <v>22</v>
      </c>
      <c r="AI54" s="1" t="s">
        <v>3</v>
      </c>
      <c r="AL54" t="s">
        <v>10</v>
      </c>
      <c r="AM54" s="1" t="s">
        <v>9</v>
      </c>
      <c r="AN54" t="s">
        <v>23</v>
      </c>
      <c r="AO54" s="1" t="s">
        <v>3</v>
      </c>
      <c r="AP54" t="s">
        <v>5</v>
      </c>
      <c r="AQ54" s="1" t="s">
        <v>3</v>
      </c>
      <c r="AR54" t="s">
        <v>23</v>
      </c>
      <c r="AS54" s="1" t="s">
        <v>3</v>
      </c>
      <c r="AT54" t="s">
        <v>5</v>
      </c>
      <c r="AU54" s="1" t="s">
        <v>3</v>
      </c>
      <c r="AV54" t="s">
        <v>5</v>
      </c>
      <c r="AW54" s="1" t="s">
        <v>3</v>
      </c>
      <c r="AX54" t="s">
        <v>5</v>
      </c>
      <c r="AY54" s="1" t="s">
        <v>3</v>
      </c>
      <c r="BA54">
        <v>93</v>
      </c>
      <c r="BB54">
        <v>93</v>
      </c>
      <c r="BD54">
        <v>5</v>
      </c>
      <c r="BE54" t="s">
        <v>1</v>
      </c>
      <c r="BF54" t="s">
        <v>16</v>
      </c>
      <c r="BG54">
        <v>32.950000000000003</v>
      </c>
      <c r="BH54">
        <v>23</v>
      </c>
      <c r="BI54">
        <v>7</v>
      </c>
      <c r="BJ54">
        <v>2</v>
      </c>
      <c r="BK54">
        <v>2</v>
      </c>
      <c r="BR54" s="2"/>
    </row>
    <row r="55" spans="1:70" x14ac:dyDescent="0.55000000000000004">
      <c r="A55" t="s">
        <v>20</v>
      </c>
      <c r="B55">
        <v>54</v>
      </c>
      <c r="C55">
        <v>7</v>
      </c>
      <c r="D55">
        <v>6</v>
      </c>
      <c r="E55" s="2">
        <v>45945</v>
      </c>
      <c r="F55" t="s">
        <v>19</v>
      </c>
      <c r="G55" t="s">
        <v>12</v>
      </c>
      <c r="H55" t="s">
        <v>5</v>
      </c>
      <c r="I55" s="1" t="s">
        <v>3</v>
      </c>
      <c r="J55" t="s">
        <v>4</v>
      </c>
      <c r="K55" s="1" t="s">
        <v>11</v>
      </c>
      <c r="L55" t="s">
        <v>10</v>
      </c>
      <c r="M55" s="1" t="s">
        <v>3</v>
      </c>
      <c r="N55" t="s">
        <v>5</v>
      </c>
      <c r="O55" s="1" t="s">
        <v>3</v>
      </c>
      <c r="P55" t="s">
        <v>5</v>
      </c>
      <c r="Q55" s="1" t="s">
        <v>3</v>
      </c>
      <c r="R55" t="s">
        <v>5</v>
      </c>
      <c r="S55" s="1" t="s">
        <v>3</v>
      </c>
      <c r="T55" t="s">
        <v>5</v>
      </c>
      <c r="U55" s="1" t="s">
        <v>3</v>
      </c>
      <c r="V55" t="s">
        <v>5</v>
      </c>
      <c r="W55" t="s">
        <v>3</v>
      </c>
      <c r="X55" t="s">
        <v>5</v>
      </c>
      <c r="Y55" s="1" t="s">
        <v>3</v>
      </c>
      <c r="Z55" t="s">
        <v>5</v>
      </c>
      <c r="AA55" t="s">
        <v>3</v>
      </c>
      <c r="AB55" t="s">
        <v>5</v>
      </c>
      <c r="AC55" s="1" t="s">
        <v>3</v>
      </c>
      <c r="AD55" t="s">
        <v>5</v>
      </c>
      <c r="AE55" s="1" t="s">
        <v>3</v>
      </c>
      <c r="AF55" t="s">
        <v>5</v>
      </c>
      <c r="AG55" s="1" t="s">
        <v>3</v>
      </c>
      <c r="AH55" t="s">
        <v>5</v>
      </c>
      <c r="AI55" s="1" t="s">
        <v>3</v>
      </c>
      <c r="AL55" t="s">
        <v>5</v>
      </c>
      <c r="AM55" s="1" t="s">
        <v>3</v>
      </c>
      <c r="AN55" t="s">
        <v>5</v>
      </c>
      <c r="AO55" s="1" t="s">
        <v>3</v>
      </c>
      <c r="AP55" t="s">
        <v>5</v>
      </c>
      <c r="AQ55" s="1" t="s">
        <v>3</v>
      </c>
      <c r="AR55" t="s">
        <v>5</v>
      </c>
      <c r="AS55" s="1" t="s">
        <v>3</v>
      </c>
      <c r="AT55" t="s">
        <v>5</v>
      </c>
      <c r="AU55" s="1" t="s">
        <v>3</v>
      </c>
      <c r="AV55" t="s">
        <v>23</v>
      </c>
      <c r="AW55" s="1" t="s">
        <v>3</v>
      </c>
      <c r="AX55" t="s">
        <v>5</v>
      </c>
      <c r="AY55" s="1" t="s">
        <v>3</v>
      </c>
      <c r="BA55">
        <v>94</v>
      </c>
      <c r="BB55">
        <v>94</v>
      </c>
      <c r="BC55">
        <v>52</v>
      </c>
      <c r="BD55">
        <v>6</v>
      </c>
      <c r="BE55" t="s">
        <v>1</v>
      </c>
      <c r="BF55" t="s">
        <v>1</v>
      </c>
      <c r="BG55">
        <v>25.55</v>
      </c>
      <c r="BH55">
        <v>9</v>
      </c>
      <c r="BI55">
        <v>4</v>
      </c>
      <c r="BJ55">
        <v>0</v>
      </c>
      <c r="BK55">
        <v>2</v>
      </c>
      <c r="BR55" s="2"/>
    </row>
    <row r="56" spans="1:70" x14ac:dyDescent="0.55000000000000004">
      <c r="A56" t="s">
        <v>20</v>
      </c>
      <c r="B56">
        <v>55</v>
      </c>
      <c r="C56">
        <v>7</v>
      </c>
      <c r="D56">
        <v>7</v>
      </c>
      <c r="E56" s="2">
        <v>45945</v>
      </c>
      <c r="F56" t="s">
        <v>19</v>
      </c>
      <c r="G56" t="s">
        <v>6</v>
      </c>
      <c r="H56" t="s">
        <v>4</v>
      </c>
      <c r="I56" s="1" t="s">
        <v>3</v>
      </c>
      <c r="J56" t="s">
        <v>4</v>
      </c>
      <c r="K56" s="1" t="s">
        <v>3</v>
      </c>
      <c r="L56" t="s">
        <v>4</v>
      </c>
      <c r="M56" s="1" t="s">
        <v>3</v>
      </c>
      <c r="N56" t="s">
        <v>10</v>
      </c>
      <c r="O56" s="1" t="s">
        <v>9</v>
      </c>
      <c r="P56" t="s">
        <v>10</v>
      </c>
      <c r="Q56" s="1" t="s">
        <v>9</v>
      </c>
      <c r="R56" t="s">
        <v>10</v>
      </c>
      <c r="S56" s="1" t="s">
        <v>9</v>
      </c>
      <c r="T56" t="s">
        <v>10</v>
      </c>
      <c r="U56" s="1" t="s">
        <v>9</v>
      </c>
      <c r="V56" t="s">
        <v>10</v>
      </c>
      <c r="W56" t="s">
        <v>9</v>
      </c>
      <c r="X56" t="s">
        <v>10</v>
      </c>
      <c r="Y56" s="1" t="s">
        <v>9</v>
      </c>
      <c r="Z56" t="s">
        <v>10</v>
      </c>
      <c r="AA56" t="s">
        <v>9</v>
      </c>
      <c r="AB56" t="s">
        <v>10</v>
      </c>
      <c r="AC56" s="1" t="s">
        <v>9</v>
      </c>
      <c r="AD56" t="s">
        <v>10</v>
      </c>
      <c r="AE56" s="1" t="s">
        <v>9</v>
      </c>
      <c r="AF56" t="s">
        <v>10</v>
      </c>
      <c r="AG56" s="1" t="s">
        <v>9</v>
      </c>
      <c r="AH56" t="s">
        <v>10</v>
      </c>
      <c r="AI56" s="1" t="s">
        <v>9</v>
      </c>
      <c r="AL56" t="s">
        <v>10</v>
      </c>
      <c r="AM56" s="1" t="s">
        <v>9</v>
      </c>
      <c r="AN56" t="s">
        <v>10</v>
      </c>
      <c r="AO56" s="1" t="s">
        <v>9</v>
      </c>
      <c r="AP56" t="s">
        <v>10</v>
      </c>
      <c r="AQ56" s="1" t="s">
        <v>9</v>
      </c>
      <c r="AR56" t="s">
        <v>10</v>
      </c>
      <c r="AS56" s="1" t="s">
        <v>9</v>
      </c>
      <c r="AT56" t="s">
        <v>10</v>
      </c>
      <c r="AU56" s="1" t="s">
        <v>9</v>
      </c>
      <c r="AV56" t="s">
        <v>10</v>
      </c>
      <c r="AW56" s="1" t="s">
        <v>9</v>
      </c>
      <c r="AX56" t="s">
        <v>10</v>
      </c>
      <c r="AY56" s="1" t="s">
        <v>9</v>
      </c>
      <c r="BA56">
        <v>49</v>
      </c>
      <c r="BB56">
        <v>75</v>
      </c>
      <c r="BD56">
        <v>7</v>
      </c>
      <c r="BE56" t="s">
        <v>1</v>
      </c>
      <c r="BF56" t="s">
        <v>1</v>
      </c>
      <c r="BG56">
        <v>25.38</v>
      </c>
      <c r="BH56">
        <v>9</v>
      </c>
      <c r="BI56">
        <v>6</v>
      </c>
      <c r="BJ56">
        <v>1</v>
      </c>
      <c r="BK56">
        <v>1</v>
      </c>
      <c r="BR56" s="2"/>
    </row>
    <row r="57" spans="1:70" x14ac:dyDescent="0.55000000000000004">
      <c r="A57" t="s">
        <v>20</v>
      </c>
      <c r="B57">
        <v>56</v>
      </c>
      <c r="C57">
        <v>7</v>
      </c>
      <c r="D57">
        <v>8</v>
      </c>
      <c r="E57" s="2">
        <v>45945</v>
      </c>
      <c r="F57" t="s">
        <v>19</v>
      </c>
      <c r="G57" t="s">
        <v>13</v>
      </c>
      <c r="H57" t="s">
        <v>10</v>
      </c>
      <c r="I57" s="1" t="s">
        <v>3</v>
      </c>
      <c r="J57" t="s">
        <v>21</v>
      </c>
      <c r="K57" s="1" t="s">
        <v>11</v>
      </c>
      <c r="L57" t="s">
        <v>4</v>
      </c>
      <c r="M57" s="1" t="s">
        <v>3</v>
      </c>
      <c r="N57" t="s">
        <v>21</v>
      </c>
      <c r="O57" s="1" t="s">
        <v>3</v>
      </c>
      <c r="P57" t="s">
        <v>21</v>
      </c>
      <c r="Q57" s="1" t="s">
        <v>3</v>
      </c>
      <c r="R57" t="s">
        <v>22</v>
      </c>
      <c r="S57" s="1" t="s">
        <v>3</v>
      </c>
      <c r="T57" t="s">
        <v>21</v>
      </c>
      <c r="U57" s="1" t="s">
        <v>3</v>
      </c>
      <c r="V57" t="s">
        <v>21</v>
      </c>
      <c r="W57" t="s">
        <v>3</v>
      </c>
      <c r="X57" t="s">
        <v>10</v>
      </c>
      <c r="Y57" s="1" t="s">
        <v>3</v>
      </c>
      <c r="Z57" t="s">
        <v>10</v>
      </c>
      <c r="AA57" t="s">
        <v>3</v>
      </c>
      <c r="AB57" t="s">
        <v>10</v>
      </c>
      <c r="AC57" s="1" t="s">
        <v>3</v>
      </c>
      <c r="AD57" t="s">
        <v>10</v>
      </c>
      <c r="AE57" s="1" t="s">
        <v>3</v>
      </c>
      <c r="AF57" t="s">
        <v>4</v>
      </c>
      <c r="AG57" s="1" t="s">
        <v>3</v>
      </c>
      <c r="AH57" t="s">
        <v>22</v>
      </c>
      <c r="AI57" s="1" t="s">
        <v>3</v>
      </c>
      <c r="AL57" t="s">
        <v>4</v>
      </c>
      <c r="AM57" s="1" t="s">
        <v>3</v>
      </c>
      <c r="AN57" t="s">
        <v>4</v>
      </c>
      <c r="AO57" s="1" t="s">
        <v>3</v>
      </c>
      <c r="AP57" t="s">
        <v>22</v>
      </c>
      <c r="AQ57" s="1" t="s">
        <v>11</v>
      </c>
      <c r="AR57" t="s">
        <v>4</v>
      </c>
      <c r="AS57" s="1" t="s">
        <v>3</v>
      </c>
      <c r="AT57" t="s">
        <v>4</v>
      </c>
      <c r="AU57" s="1" t="s">
        <v>3</v>
      </c>
      <c r="AV57" t="s">
        <v>4</v>
      </c>
      <c r="AW57" s="1" t="s">
        <v>3</v>
      </c>
      <c r="AX57" t="s">
        <v>4</v>
      </c>
      <c r="AY57" s="1" t="s">
        <v>3</v>
      </c>
      <c r="BA57">
        <v>96</v>
      </c>
      <c r="BB57">
        <v>96</v>
      </c>
      <c r="BC57">
        <v>79</v>
      </c>
      <c r="BD57">
        <v>8</v>
      </c>
      <c r="BE57" t="s">
        <v>1</v>
      </c>
      <c r="BF57" t="s">
        <v>0</v>
      </c>
      <c r="BG57">
        <v>21.73</v>
      </c>
      <c r="BH57">
        <v>5</v>
      </c>
      <c r="BI57">
        <v>5</v>
      </c>
      <c r="BJ57">
        <v>1</v>
      </c>
      <c r="BK57">
        <v>2</v>
      </c>
      <c r="BR57" s="2"/>
    </row>
    <row r="58" spans="1:70" x14ac:dyDescent="0.55000000000000004">
      <c r="A58" t="s">
        <v>20</v>
      </c>
      <c r="B58">
        <v>57</v>
      </c>
      <c r="C58">
        <v>8</v>
      </c>
      <c r="D58">
        <v>1</v>
      </c>
      <c r="E58" s="2">
        <v>45946</v>
      </c>
      <c r="F58" t="s">
        <v>19</v>
      </c>
      <c r="G58" t="s">
        <v>12</v>
      </c>
      <c r="H58" t="s">
        <v>22</v>
      </c>
      <c r="I58" s="1" t="s">
        <v>3</v>
      </c>
      <c r="J58" t="s">
        <v>5</v>
      </c>
      <c r="K58" s="1" t="s">
        <v>3</v>
      </c>
      <c r="L58" t="s">
        <v>5</v>
      </c>
      <c r="M58" s="1" t="s">
        <v>3</v>
      </c>
      <c r="N58" t="s">
        <v>10</v>
      </c>
      <c r="O58" s="1" t="s">
        <v>3</v>
      </c>
      <c r="P58" t="s">
        <v>10</v>
      </c>
      <c r="Q58" s="1" t="s">
        <v>9</v>
      </c>
      <c r="R58" t="s">
        <v>10</v>
      </c>
      <c r="S58" s="1" t="s">
        <v>9</v>
      </c>
      <c r="T58" t="s">
        <v>10</v>
      </c>
      <c r="U58" s="1" t="s">
        <v>11</v>
      </c>
      <c r="V58" t="s">
        <v>10</v>
      </c>
      <c r="W58" t="s">
        <v>3</v>
      </c>
      <c r="X58" t="s">
        <v>10</v>
      </c>
      <c r="Y58" s="1" t="s">
        <v>3</v>
      </c>
      <c r="Z58" t="s">
        <v>10</v>
      </c>
      <c r="AA58" t="s">
        <v>3</v>
      </c>
      <c r="AB58" t="s">
        <v>10</v>
      </c>
      <c r="AC58" s="1" t="s">
        <v>3</v>
      </c>
      <c r="AD58" t="s">
        <v>10</v>
      </c>
      <c r="AE58" s="1" t="s">
        <v>9</v>
      </c>
      <c r="AF58" t="s">
        <v>10</v>
      </c>
      <c r="AG58" s="1" t="s">
        <v>3</v>
      </c>
      <c r="AH58" t="s">
        <v>5</v>
      </c>
      <c r="AI58" s="1" t="s">
        <v>3</v>
      </c>
      <c r="AL58" t="s">
        <v>5</v>
      </c>
      <c r="AM58" s="1" t="s">
        <v>3</v>
      </c>
      <c r="AN58" t="s">
        <v>5</v>
      </c>
      <c r="AO58" s="1" t="s">
        <v>3</v>
      </c>
      <c r="AP58" t="s">
        <v>5</v>
      </c>
      <c r="AQ58" s="1" t="s">
        <v>3</v>
      </c>
      <c r="AR58" t="s">
        <v>5</v>
      </c>
      <c r="AS58" s="1" t="s">
        <v>3</v>
      </c>
      <c r="AT58" t="s">
        <v>5</v>
      </c>
      <c r="AU58" s="1" t="s">
        <v>3</v>
      </c>
      <c r="AV58" t="s">
        <v>5</v>
      </c>
      <c r="AW58" s="1" t="s">
        <v>3</v>
      </c>
      <c r="AX58" t="s">
        <v>5</v>
      </c>
      <c r="AY58" s="1" t="s">
        <v>3</v>
      </c>
      <c r="BA58">
        <v>97</v>
      </c>
      <c r="BB58">
        <v>97</v>
      </c>
      <c r="BD58">
        <v>9</v>
      </c>
      <c r="BE58" t="s">
        <v>1</v>
      </c>
      <c r="BF58" t="s">
        <v>16</v>
      </c>
      <c r="BG58">
        <v>30.22</v>
      </c>
      <c r="BH58">
        <v>16</v>
      </c>
      <c r="BI58">
        <v>6</v>
      </c>
      <c r="BJ58">
        <v>1</v>
      </c>
      <c r="BK58">
        <v>2</v>
      </c>
      <c r="BR58" s="2"/>
    </row>
    <row r="59" spans="1:70" x14ac:dyDescent="0.55000000000000004">
      <c r="A59" t="s">
        <v>20</v>
      </c>
      <c r="B59">
        <v>58</v>
      </c>
      <c r="C59">
        <v>8</v>
      </c>
      <c r="D59">
        <v>2</v>
      </c>
      <c r="E59" s="2">
        <v>45946</v>
      </c>
      <c r="F59" t="s">
        <v>19</v>
      </c>
      <c r="G59" t="s">
        <v>6</v>
      </c>
      <c r="H59" t="s">
        <v>4</v>
      </c>
      <c r="I59" s="1" t="s">
        <v>3</v>
      </c>
      <c r="J59" t="s">
        <v>10</v>
      </c>
      <c r="K59" s="1" t="s">
        <v>11</v>
      </c>
      <c r="L59" t="s">
        <v>10</v>
      </c>
      <c r="M59" s="1" t="s">
        <v>11</v>
      </c>
      <c r="N59" t="s">
        <v>21</v>
      </c>
      <c r="O59" s="1" t="s">
        <v>3</v>
      </c>
      <c r="P59" t="s">
        <v>10</v>
      </c>
      <c r="Q59" s="1" t="s">
        <v>9</v>
      </c>
      <c r="R59" t="s">
        <v>4</v>
      </c>
      <c r="S59" s="1" t="s">
        <v>3</v>
      </c>
      <c r="T59" t="s">
        <v>4</v>
      </c>
      <c r="U59" s="1" t="s">
        <v>3</v>
      </c>
      <c r="V59" t="s">
        <v>4</v>
      </c>
      <c r="W59" t="s">
        <v>3</v>
      </c>
      <c r="X59" t="s">
        <v>4</v>
      </c>
      <c r="Y59" s="1" t="s">
        <v>3</v>
      </c>
      <c r="Z59" t="s">
        <v>4</v>
      </c>
      <c r="AA59" t="s">
        <v>3</v>
      </c>
      <c r="AB59" t="s">
        <v>4</v>
      </c>
      <c r="AC59" s="1" t="s">
        <v>3</v>
      </c>
      <c r="AD59" t="s">
        <v>4</v>
      </c>
      <c r="AE59" s="1" t="s">
        <v>3</v>
      </c>
      <c r="AF59" t="s">
        <v>10</v>
      </c>
      <c r="AG59" s="1" t="s">
        <v>3</v>
      </c>
      <c r="AH59" t="s">
        <v>4</v>
      </c>
      <c r="AI59" s="1" t="s">
        <v>3</v>
      </c>
      <c r="AL59" t="s">
        <v>4</v>
      </c>
      <c r="AM59" s="1" t="s">
        <v>3</v>
      </c>
      <c r="AN59" t="s">
        <v>4</v>
      </c>
      <c r="AO59" s="1" t="s">
        <v>3</v>
      </c>
      <c r="AP59" t="s">
        <v>4</v>
      </c>
      <c r="AQ59" s="1" t="s">
        <v>3</v>
      </c>
      <c r="AR59" t="s">
        <v>4</v>
      </c>
      <c r="AS59" s="1" t="s">
        <v>3</v>
      </c>
      <c r="AT59" t="s">
        <v>4</v>
      </c>
      <c r="AU59" s="1" t="s">
        <v>3</v>
      </c>
      <c r="AV59" t="s">
        <v>4</v>
      </c>
      <c r="AW59" s="1" t="s">
        <v>3</v>
      </c>
      <c r="AX59" t="s">
        <v>4</v>
      </c>
      <c r="AY59" s="1" t="s">
        <v>3</v>
      </c>
      <c r="BA59">
        <v>98</v>
      </c>
      <c r="BB59">
        <v>98</v>
      </c>
      <c r="BD59">
        <v>10</v>
      </c>
      <c r="BE59" t="s">
        <v>1</v>
      </c>
      <c r="BF59" t="s">
        <v>16</v>
      </c>
      <c r="BG59">
        <v>30.91</v>
      </c>
      <c r="BH59">
        <v>21</v>
      </c>
      <c r="BI59">
        <v>8</v>
      </c>
      <c r="BJ59">
        <v>2</v>
      </c>
      <c r="BK59">
        <v>2</v>
      </c>
      <c r="BR59" s="2"/>
    </row>
    <row r="60" spans="1:70" x14ac:dyDescent="0.55000000000000004">
      <c r="A60" t="s">
        <v>20</v>
      </c>
      <c r="B60">
        <v>59</v>
      </c>
      <c r="C60">
        <v>8</v>
      </c>
      <c r="D60">
        <v>3</v>
      </c>
      <c r="E60" s="2">
        <v>45946</v>
      </c>
      <c r="F60" t="s">
        <v>19</v>
      </c>
      <c r="G60" t="s">
        <v>13</v>
      </c>
      <c r="H60" t="s">
        <v>21</v>
      </c>
      <c r="I60" s="1" t="s">
        <v>3</v>
      </c>
      <c r="J60" t="s">
        <v>5</v>
      </c>
      <c r="K60" s="1" t="s">
        <v>3</v>
      </c>
      <c r="L60" t="s">
        <v>5</v>
      </c>
      <c r="M60" s="1" t="s">
        <v>3</v>
      </c>
      <c r="N60" t="s">
        <v>5</v>
      </c>
      <c r="O60" s="1" t="s">
        <v>3</v>
      </c>
      <c r="P60" t="s">
        <v>5</v>
      </c>
      <c r="Q60" s="1" t="s">
        <v>3</v>
      </c>
      <c r="R60" t="s">
        <v>5</v>
      </c>
      <c r="S60" s="1" t="s">
        <v>3</v>
      </c>
      <c r="T60" t="s">
        <v>5</v>
      </c>
      <c r="U60" s="1" t="s">
        <v>3</v>
      </c>
      <c r="V60" t="s">
        <v>5</v>
      </c>
      <c r="W60" t="s">
        <v>3</v>
      </c>
      <c r="X60" t="s">
        <v>5</v>
      </c>
      <c r="Y60" s="1" t="s">
        <v>3</v>
      </c>
      <c r="Z60" t="s">
        <v>5</v>
      </c>
      <c r="AA60" t="s">
        <v>3</v>
      </c>
      <c r="AB60" t="s">
        <v>5</v>
      </c>
      <c r="AC60" s="1" t="s">
        <v>3</v>
      </c>
      <c r="AD60" t="s">
        <v>5</v>
      </c>
      <c r="AE60" s="1" t="s">
        <v>3</v>
      </c>
      <c r="AF60" t="s">
        <v>10</v>
      </c>
      <c r="AG60" s="1" t="s">
        <v>9</v>
      </c>
      <c r="AH60" t="s">
        <v>5</v>
      </c>
      <c r="AI60" s="1" t="s">
        <v>3</v>
      </c>
      <c r="AL60" t="s">
        <v>4</v>
      </c>
      <c r="AM60" s="1" t="s">
        <v>3</v>
      </c>
      <c r="AN60" t="s">
        <v>5</v>
      </c>
      <c r="AO60" s="1" t="s">
        <v>3</v>
      </c>
      <c r="AP60" t="s">
        <v>5</v>
      </c>
      <c r="AQ60" s="1" t="s">
        <v>3</v>
      </c>
      <c r="AR60" t="s">
        <v>5</v>
      </c>
      <c r="AS60" s="1" t="s">
        <v>3</v>
      </c>
      <c r="AT60" t="s">
        <v>5</v>
      </c>
      <c r="AU60" s="1" t="s">
        <v>3</v>
      </c>
      <c r="AV60" t="s">
        <v>5</v>
      </c>
      <c r="AW60" s="1" t="s">
        <v>3</v>
      </c>
      <c r="AX60" t="s">
        <v>5</v>
      </c>
      <c r="AY60" s="1" t="s">
        <v>3</v>
      </c>
      <c r="BA60">
        <v>99</v>
      </c>
      <c r="BB60">
        <v>99</v>
      </c>
      <c r="BD60">
        <v>11</v>
      </c>
      <c r="BE60" t="s">
        <v>1</v>
      </c>
      <c r="BF60" t="s">
        <v>1</v>
      </c>
      <c r="BG60">
        <v>25.21</v>
      </c>
      <c r="BH60">
        <v>8</v>
      </c>
      <c r="BI60">
        <v>8</v>
      </c>
      <c r="BJ60">
        <v>2</v>
      </c>
      <c r="BK60">
        <v>2</v>
      </c>
      <c r="BL60" t="s">
        <v>15</v>
      </c>
      <c r="BR60" s="2">
        <v>45944</v>
      </c>
    </row>
    <row r="61" spans="1:70" x14ac:dyDescent="0.55000000000000004">
      <c r="A61" t="s">
        <v>20</v>
      </c>
      <c r="B61">
        <v>60</v>
      </c>
      <c r="C61">
        <v>8</v>
      </c>
      <c r="D61">
        <v>4</v>
      </c>
      <c r="E61" s="2">
        <v>45946</v>
      </c>
      <c r="F61" t="s">
        <v>19</v>
      </c>
      <c r="G61" t="s">
        <v>12</v>
      </c>
      <c r="H61" t="s">
        <v>22</v>
      </c>
      <c r="I61" s="1" t="s">
        <v>3</v>
      </c>
      <c r="J61" t="s">
        <v>4</v>
      </c>
      <c r="K61" s="1" t="s">
        <v>3</v>
      </c>
      <c r="L61" t="s">
        <v>21</v>
      </c>
      <c r="M61" s="1" t="s">
        <v>11</v>
      </c>
      <c r="N61" t="s">
        <v>10</v>
      </c>
      <c r="O61" s="1" t="s">
        <v>9</v>
      </c>
      <c r="P61" t="s">
        <v>4</v>
      </c>
      <c r="Q61" s="1" t="s">
        <v>3</v>
      </c>
      <c r="R61" t="s">
        <v>10</v>
      </c>
      <c r="S61" s="1" t="s">
        <v>9</v>
      </c>
      <c r="T61" t="s">
        <v>10</v>
      </c>
      <c r="U61" s="1" t="s">
        <v>9</v>
      </c>
      <c r="V61" t="s">
        <v>10</v>
      </c>
      <c r="W61" t="s">
        <v>9</v>
      </c>
      <c r="X61" t="s">
        <v>10</v>
      </c>
      <c r="Y61" s="1" t="s">
        <v>9</v>
      </c>
      <c r="Z61" t="s">
        <v>10</v>
      </c>
      <c r="AA61" t="s">
        <v>9</v>
      </c>
      <c r="AB61" t="s">
        <v>10</v>
      </c>
      <c r="AC61" s="1" t="s">
        <v>9</v>
      </c>
      <c r="AD61" t="s">
        <v>5</v>
      </c>
      <c r="AE61" s="1" t="s">
        <v>3</v>
      </c>
      <c r="AF61" t="s">
        <v>4</v>
      </c>
      <c r="AG61" s="1" t="s">
        <v>3</v>
      </c>
      <c r="AH61" t="s">
        <v>10</v>
      </c>
      <c r="AI61" s="1" t="s">
        <v>3</v>
      </c>
      <c r="AL61" t="s">
        <v>10</v>
      </c>
      <c r="AM61" s="1" t="s">
        <v>3</v>
      </c>
      <c r="AN61" t="s">
        <v>10</v>
      </c>
      <c r="AO61" s="1" t="s">
        <v>9</v>
      </c>
      <c r="AP61" t="s">
        <v>10</v>
      </c>
      <c r="AQ61" s="1" t="s">
        <v>9</v>
      </c>
      <c r="AR61" t="s">
        <v>10</v>
      </c>
      <c r="AS61" s="1" t="s">
        <v>3</v>
      </c>
      <c r="AT61" t="s">
        <v>4</v>
      </c>
      <c r="AU61" s="1" t="s">
        <v>3</v>
      </c>
      <c r="AV61" t="s">
        <v>10</v>
      </c>
      <c r="AW61" s="1" t="s">
        <v>11</v>
      </c>
      <c r="AX61" t="s">
        <v>10</v>
      </c>
      <c r="AY61" s="1" t="s">
        <v>3</v>
      </c>
      <c r="BA61">
        <v>100</v>
      </c>
      <c r="BB61">
        <v>100</v>
      </c>
      <c r="BD61">
        <v>12</v>
      </c>
      <c r="BE61" t="s">
        <v>1</v>
      </c>
      <c r="BF61" t="s">
        <v>0</v>
      </c>
      <c r="BG61">
        <v>21.46</v>
      </c>
      <c r="BH61">
        <v>6</v>
      </c>
      <c r="BI61">
        <v>8</v>
      </c>
      <c r="BJ61">
        <v>2</v>
      </c>
      <c r="BK61">
        <v>2</v>
      </c>
      <c r="BR61" s="2"/>
    </row>
    <row r="62" spans="1:70" x14ac:dyDescent="0.55000000000000004">
      <c r="A62" t="s">
        <v>20</v>
      </c>
      <c r="B62">
        <v>61</v>
      </c>
      <c r="C62">
        <v>8</v>
      </c>
      <c r="D62">
        <v>5</v>
      </c>
      <c r="E62" s="2">
        <v>45946</v>
      </c>
      <c r="F62" t="s">
        <v>19</v>
      </c>
      <c r="G62" t="s">
        <v>6</v>
      </c>
      <c r="H62" t="s">
        <v>21</v>
      </c>
      <c r="I62" s="1" t="s">
        <v>3</v>
      </c>
      <c r="J62" t="s">
        <v>4</v>
      </c>
      <c r="K62" s="1" t="s">
        <v>3</v>
      </c>
      <c r="L62" t="s">
        <v>10</v>
      </c>
      <c r="M62" s="1" t="s">
        <v>9</v>
      </c>
      <c r="N62" t="s">
        <v>10</v>
      </c>
      <c r="O62" s="1" t="s">
        <v>9</v>
      </c>
      <c r="P62" t="s">
        <v>10</v>
      </c>
      <c r="Q62" s="1" t="s">
        <v>9</v>
      </c>
      <c r="R62" t="s">
        <v>10</v>
      </c>
      <c r="S62" s="1" t="s">
        <v>9</v>
      </c>
      <c r="T62" t="s">
        <v>10</v>
      </c>
      <c r="U62" s="1" t="s">
        <v>9</v>
      </c>
      <c r="V62" t="s">
        <v>10</v>
      </c>
      <c r="W62" t="s">
        <v>9</v>
      </c>
      <c r="X62" t="s">
        <v>10</v>
      </c>
      <c r="Y62" s="1" t="s">
        <v>9</v>
      </c>
      <c r="Z62" t="s">
        <v>10</v>
      </c>
      <c r="AA62" t="s">
        <v>9</v>
      </c>
      <c r="AB62" t="s">
        <v>10</v>
      </c>
      <c r="AC62" s="1" t="s">
        <v>9</v>
      </c>
      <c r="AD62" t="s">
        <v>10</v>
      </c>
      <c r="AE62" s="1" t="s">
        <v>9</v>
      </c>
      <c r="AF62" t="s">
        <v>10</v>
      </c>
      <c r="AG62" s="1" t="s">
        <v>9</v>
      </c>
      <c r="AH62" t="s">
        <v>10</v>
      </c>
      <c r="AI62" s="1" t="s">
        <v>9</v>
      </c>
      <c r="AL62" t="s">
        <v>10</v>
      </c>
      <c r="AM62" s="1" t="s">
        <v>9</v>
      </c>
      <c r="AN62" t="s">
        <v>10</v>
      </c>
      <c r="AO62" s="1" t="s">
        <v>11</v>
      </c>
      <c r="AP62" t="s">
        <v>5</v>
      </c>
      <c r="AQ62" s="1" t="s">
        <v>3</v>
      </c>
      <c r="AR62" t="s">
        <v>5</v>
      </c>
      <c r="AS62" s="1" t="s">
        <v>3</v>
      </c>
      <c r="AT62" t="s">
        <v>5</v>
      </c>
      <c r="AU62" s="1" t="s">
        <v>3</v>
      </c>
      <c r="AV62" t="s">
        <v>10</v>
      </c>
      <c r="AW62" s="1" t="s">
        <v>9</v>
      </c>
      <c r="AX62" t="s">
        <v>10</v>
      </c>
      <c r="AY62" s="1" t="s">
        <v>9</v>
      </c>
      <c r="BA62">
        <v>78</v>
      </c>
      <c r="BB62">
        <v>78</v>
      </c>
      <c r="BD62">
        <v>13</v>
      </c>
      <c r="BE62" t="s">
        <v>1</v>
      </c>
      <c r="BF62" t="s">
        <v>0</v>
      </c>
      <c r="BG62">
        <v>18.350000000000001</v>
      </c>
      <c r="BH62">
        <v>3</v>
      </c>
      <c r="BI62">
        <v>8</v>
      </c>
      <c r="BJ62">
        <v>2</v>
      </c>
      <c r="BK62">
        <v>2</v>
      </c>
      <c r="BR62" s="2"/>
    </row>
    <row r="63" spans="1:70" x14ac:dyDescent="0.55000000000000004">
      <c r="A63" t="s">
        <v>20</v>
      </c>
      <c r="B63">
        <v>62</v>
      </c>
      <c r="C63">
        <v>8</v>
      </c>
      <c r="D63">
        <v>6</v>
      </c>
      <c r="E63" s="2">
        <v>45946</v>
      </c>
      <c r="F63" t="s">
        <v>19</v>
      </c>
      <c r="G63" t="s">
        <v>13</v>
      </c>
      <c r="H63" t="s">
        <v>10</v>
      </c>
      <c r="I63" s="1" t="s">
        <v>3</v>
      </c>
      <c r="J63" t="s">
        <v>10</v>
      </c>
      <c r="K63" s="1" t="s">
        <v>3</v>
      </c>
      <c r="L63" t="s">
        <v>10</v>
      </c>
      <c r="M63" s="1" t="s">
        <v>3</v>
      </c>
      <c r="N63" t="s">
        <v>10</v>
      </c>
      <c r="O63" s="1" t="s">
        <v>3</v>
      </c>
      <c r="P63" t="s">
        <v>10</v>
      </c>
      <c r="Q63" s="1" t="s">
        <v>11</v>
      </c>
      <c r="R63" t="s">
        <v>10</v>
      </c>
      <c r="S63" s="1" t="s">
        <v>3</v>
      </c>
      <c r="T63" t="s">
        <v>10</v>
      </c>
      <c r="U63" s="1" t="s">
        <v>3</v>
      </c>
      <c r="V63" t="s">
        <v>10</v>
      </c>
      <c r="W63" t="s">
        <v>3</v>
      </c>
      <c r="X63" t="s">
        <v>10</v>
      </c>
      <c r="Y63" s="1" t="s">
        <v>3</v>
      </c>
      <c r="Z63" t="s">
        <v>10</v>
      </c>
      <c r="AA63" t="s">
        <v>3</v>
      </c>
      <c r="AB63" t="s">
        <v>10</v>
      </c>
      <c r="AC63" s="1" t="s">
        <v>9</v>
      </c>
      <c r="AD63" t="s">
        <v>10</v>
      </c>
      <c r="AE63" s="1" t="s">
        <v>3</v>
      </c>
      <c r="AF63" t="s">
        <v>10</v>
      </c>
      <c r="AG63" s="1" t="s">
        <v>3</v>
      </c>
      <c r="AH63" t="s">
        <v>10</v>
      </c>
      <c r="AI63" s="1" t="s">
        <v>3</v>
      </c>
      <c r="AL63" t="s">
        <v>10</v>
      </c>
      <c r="AM63" s="1" t="s">
        <v>3</v>
      </c>
      <c r="AN63" t="s">
        <v>10</v>
      </c>
      <c r="AO63" s="1" t="s">
        <v>3</v>
      </c>
      <c r="AP63" t="s">
        <v>10</v>
      </c>
      <c r="AQ63" s="1" t="s">
        <v>3</v>
      </c>
      <c r="AR63" t="s">
        <v>10</v>
      </c>
      <c r="AS63" s="1" t="s">
        <v>3</v>
      </c>
      <c r="AT63" t="s">
        <v>10</v>
      </c>
      <c r="AU63" s="1" t="s">
        <v>3</v>
      </c>
      <c r="AV63" t="s">
        <v>10</v>
      </c>
      <c r="AW63" s="1" t="s">
        <v>3</v>
      </c>
      <c r="AX63" t="s">
        <v>10</v>
      </c>
      <c r="AY63" s="1" t="s">
        <v>3</v>
      </c>
      <c r="BA63" s="17">
        <v>102</v>
      </c>
      <c r="BB63" s="17">
        <v>102</v>
      </c>
      <c r="BC63" s="17">
        <v>58</v>
      </c>
      <c r="BD63" s="17">
        <v>14</v>
      </c>
      <c r="BE63" s="17" t="s">
        <v>1</v>
      </c>
      <c r="BF63" s="17" t="s">
        <v>1</v>
      </c>
      <c r="BG63" s="17">
        <v>26.87</v>
      </c>
      <c r="BH63" s="17">
        <v>11</v>
      </c>
      <c r="BI63" s="17">
        <v>7</v>
      </c>
      <c r="BJ63" s="17">
        <v>2</v>
      </c>
      <c r="BK63" s="17">
        <v>2</v>
      </c>
      <c r="BR63" s="2"/>
    </row>
    <row r="64" spans="1:70" x14ac:dyDescent="0.55000000000000004">
      <c r="A64" t="s">
        <v>20</v>
      </c>
      <c r="B64">
        <v>63</v>
      </c>
      <c r="C64">
        <v>8</v>
      </c>
      <c r="D64">
        <v>7</v>
      </c>
      <c r="E64" s="2">
        <v>45946</v>
      </c>
      <c r="F64" t="s">
        <v>19</v>
      </c>
      <c r="G64" t="s">
        <v>12</v>
      </c>
      <c r="H64" t="s">
        <v>21</v>
      </c>
      <c r="I64" s="1" t="s">
        <v>3</v>
      </c>
      <c r="J64" t="s">
        <v>21</v>
      </c>
      <c r="K64" s="1" t="s">
        <v>3</v>
      </c>
      <c r="L64" t="s">
        <v>4</v>
      </c>
      <c r="M64" s="1" t="s">
        <v>3</v>
      </c>
      <c r="N64" t="s">
        <v>23</v>
      </c>
      <c r="O64" s="1" t="s">
        <v>11</v>
      </c>
      <c r="P64" t="s">
        <v>23</v>
      </c>
      <c r="Q64" s="1" t="s">
        <v>11</v>
      </c>
      <c r="R64" t="s">
        <v>10</v>
      </c>
      <c r="S64" s="1" t="s">
        <v>11</v>
      </c>
      <c r="T64" t="s">
        <v>22</v>
      </c>
      <c r="U64" s="1" t="s">
        <v>3</v>
      </c>
      <c r="V64" t="s">
        <v>22</v>
      </c>
      <c r="W64" t="s">
        <v>3</v>
      </c>
      <c r="X64" t="s">
        <v>4</v>
      </c>
      <c r="Y64" s="1" t="s">
        <v>11</v>
      </c>
      <c r="Z64" t="s">
        <v>10</v>
      </c>
      <c r="AA64" t="s">
        <v>9</v>
      </c>
      <c r="AB64" t="s">
        <v>4</v>
      </c>
      <c r="AC64" s="1" t="s">
        <v>3</v>
      </c>
      <c r="AD64" t="s">
        <v>10</v>
      </c>
      <c r="AE64" s="1" t="s">
        <v>11</v>
      </c>
      <c r="AF64" t="s">
        <v>22</v>
      </c>
      <c r="AG64" s="1" t="s">
        <v>3</v>
      </c>
      <c r="AH64" t="s">
        <v>4</v>
      </c>
      <c r="AI64" s="1" t="s">
        <v>11</v>
      </c>
      <c r="AL64" t="s">
        <v>10</v>
      </c>
      <c r="AM64" s="1" t="s">
        <v>11</v>
      </c>
      <c r="AN64" t="s">
        <v>10</v>
      </c>
      <c r="AO64" s="1" t="s">
        <v>11</v>
      </c>
      <c r="AP64" t="s">
        <v>10</v>
      </c>
      <c r="AQ64" s="1" t="s">
        <v>3</v>
      </c>
      <c r="AR64" t="s">
        <v>21</v>
      </c>
      <c r="AS64" s="1" t="s">
        <v>11</v>
      </c>
      <c r="AT64" t="s">
        <v>10</v>
      </c>
      <c r="AU64" s="1" t="s">
        <v>11</v>
      </c>
      <c r="AV64" t="s">
        <v>10</v>
      </c>
      <c r="AW64" s="1" t="s">
        <v>11</v>
      </c>
      <c r="AX64" t="s">
        <v>10</v>
      </c>
      <c r="AY64" s="1" t="s">
        <v>11</v>
      </c>
      <c r="BA64">
        <v>84</v>
      </c>
      <c r="BB64">
        <v>84</v>
      </c>
      <c r="BD64">
        <v>15</v>
      </c>
      <c r="BE64" t="s">
        <v>1</v>
      </c>
      <c r="BF64" t="s">
        <v>1</v>
      </c>
      <c r="BG64">
        <v>25.2</v>
      </c>
      <c r="BH64">
        <v>11</v>
      </c>
      <c r="BI64">
        <v>8</v>
      </c>
      <c r="BJ64">
        <v>2</v>
      </c>
      <c r="BK64">
        <v>2</v>
      </c>
      <c r="BR64" s="2"/>
    </row>
    <row r="65" spans="1:70" x14ac:dyDescent="0.55000000000000004">
      <c r="A65" t="s">
        <v>20</v>
      </c>
      <c r="B65">
        <v>64</v>
      </c>
      <c r="C65">
        <v>8</v>
      </c>
      <c r="D65">
        <v>8</v>
      </c>
      <c r="E65" s="2">
        <v>45946</v>
      </c>
      <c r="F65" t="s">
        <v>19</v>
      </c>
      <c r="G65" t="s">
        <v>6</v>
      </c>
      <c r="H65" t="s">
        <v>5</v>
      </c>
      <c r="I65" s="1" t="s">
        <v>3</v>
      </c>
      <c r="J65" t="s">
        <v>5</v>
      </c>
      <c r="K65" s="1" t="s">
        <v>3</v>
      </c>
      <c r="L65" t="s">
        <v>5</v>
      </c>
      <c r="M65" s="1" t="s">
        <v>3</v>
      </c>
      <c r="N65" t="s">
        <v>5</v>
      </c>
      <c r="O65" s="1" t="s">
        <v>3</v>
      </c>
      <c r="P65" t="s">
        <v>5</v>
      </c>
      <c r="Q65" s="1" t="s">
        <v>3</v>
      </c>
      <c r="R65" t="s">
        <v>5</v>
      </c>
      <c r="S65" s="1" t="s">
        <v>3</v>
      </c>
      <c r="T65" t="s">
        <v>5</v>
      </c>
      <c r="U65" s="1" t="s">
        <v>3</v>
      </c>
      <c r="V65" t="s">
        <v>5</v>
      </c>
      <c r="W65" t="s">
        <v>3</v>
      </c>
      <c r="X65" t="s">
        <v>5</v>
      </c>
      <c r="Y65" s="1" t="s">
        <v>3</v>
      </c>
      <c r="Z65" t="s">
        <v>5</v>
      </c>
      <c r="AA65" t="s">
        <v>3</v>
      </c>
      <c r="AB65" t="s">
        <v>5</v>
      </c>
      <c r="AC65" s="1" t="s">
        <v>3</v>
      </c>
      <c r="AD65" t="s">
        <v>5</v>
      </c>
      <c r="AE65" s="1" t="s">
        <v>3</v>
      </c>
      <c r="AF65" t="s">
        <v>5</v>
      </c>
      <c r="AG65" s="1" t="s">
        <v>3</v>
      </c>
      <c r="AH65" t="s">
        <v>10</v>
      </c>
      <c r="AI65" s="1" t="s">
        <v>3</v>
      </c>
      <c r="AL65" t="s">
        <v>4</v>
      </c>
      <c r="AM65" s="1" t="s">
        <v>3</v>
      </c>
      <c r="AN65" t="s">
        <v>10</v>
      </c>
      <c r="AO65" s="1" t="s">
        <v>3</v>
      </c>
      <c r="AP65" t="s">
        <v>4</v>
      </c>
      <c r="AQ65" s="1" t="s">
        <v>3</v>
      </c>
      <c r="AR65" t="s">
        <v>5</v>
      </c>
      <c r="AS65" s="1" t="s">
        <v>3</v>
      </c>
      <c r="AT65" t="s">
        <v>5</v>
      </c>
      <c r="AU65" s="1" t="s">
        <v>3</v>
      </c>
      <c r="AV65" t="s">
        <v>5</v>
      </c>
      <c r="AW65" s="1" t="s">
        <v>3</v>
      </c>
      <c r="AX65" t="s">
        <v>5</v>
      </c>
      <c r="AY65" s="1" t="s">
        <v>3</v>
      </c>
      <c r="BA65">
        <v>87</v>
      </c>
      <c r="BB65">
        <v>87</v>
      </c>
      <c r="BD65">
        <v>16</v>
      </c>
      <c r="BE65" t="s">
        <v>1</v>
      </c>
      <c r="BF65" t="s">
        <v>0</v>
      </c>
      <c r="BG65">
        <v>21.26</v>
      </c>
      <c r="BH65">
        <v>7</v>
      </c>
      <c r="BI65">
        <v>6</v>
      </c>
      <c r="BJ65">
        <v>2</v>
      </c>
      <c r="BK65">
        <v>2</v>
      </c>
      <c r="BR65" s="2"/>
    </row>
  </sheetData>
  <autoFilter ref="A1:BL65" xr:uid="{4A698BA5-38D0-4CDC-AB59-F3ED83474DE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ECFD5-44B2-41A9-9B91-2DC8174B9BDF}">
  <dimension ref="A1:AD9"/>
  <sheetViews>
    <sheetView workbookViewId="0">
      <selection activeCell="M17" sqref="M17"/>
    </sheetView>
  </sheetViews>
  <sheetFormatPr defaultRowHeight="14.4" x14ac:dyDescent="0.55000000000000004"/>
  <cols>
    <col min="8" max="8" width="9.89453125" bestFit="1" customWidth="1"/>
    <col min="9" max="9" width="11.3125" bestFit="1" customWidth="1"/>
    <col min="10" max="10" width="11.89453125" bestFit="1" customWidth="1"/>
    <col min="11" max="11" width="13.3671875" bestFit="1" customWidth="1"/>
  </cols>
  <sheetData>
    <row r="1" spans="1:30" s="4" customFormat="1" x14ac:dyDescent="0.55000000000000004">
      <c r="A1" s="4" t="s">
        <v>97</v>
      </c>
      <c r="B1" s="4" t="s">
        <v>96</v>
      </c>
      <c r="C1" s="4" t="s">
        <v>95</v>
      </c>
      <c r="D1" s="4" t="s">
        <v>94</v>
      </c>
      <c r="E1" s="4" t="s">
        <v>93</v>
      </c>
      <c r="F1" s="4" t="s">
        <v>26</v>
      </c>
      <c r="G1" s="4" t="s">
        <v>92</v>
      </c>
      <c r="H1" s="4" t="s">
        <v>91</v>
      </c>
      <c r="I1" s="5" t="s">
        <v>90</v>
      </c>
      <c r="J1" s="4" t="s">
        <v>49</v>
      </c>
      <c r="K1" s="5" t="s">
        <v>48</v>
      </c>
      <c r="L1" s="4" t="s">
        <v>47</v>
      </c>
      <c r="M1" s="4" t="s">
        <v>46</v>
      </c>
      <c r="N1" s="4" t="s">
        <v>45</v>
      </c>
      <c r="O1" s="4" t="s">
        <v>44</v>
      </c>
      <c r="P1" s="4" t="s">
        <v>43</v>
      </c>
      <c r="Q1" s="4" t="s">
        <v>42</v>
      </c>
      <c r="R1" s="4" t="s">
        <v>41</v>
      </c>
      <c r="S1" s="4" t="s">
        <v>40</v>
      </c>
      <c r="T1" s="4" t="s">
        <v>39</v>
      </c>
      <c r="U1" s="4" t="s">
        <v>38</v>
      </c>
      <c r="V1" s="4" t="s">
        <v>37</v>
      </c>
      <c r="W1" s="4" t="s">
        <v>36</v>
      </c>
      <c r="X1" s="4" t="s">
        <v>35</v>
      </c>
      <c r="Y1" s="4" t="s">
        <v>34</v>
      </c>
      <c r="Z1" s="4" t="s">
        <v>33</v>
      </c>
      <c r="AA1" s="4" t="s">
        <v>32</v>
      </c>
      <c r="AB1" s="4" t="s">
        <v>31</v>
      </c>
      <c r="AC1" s="4" t="s">
        <v>30</v>
      </c>
      <c r="AD1" s="4" t="s">
        <v>29</v>
      </c>
    </row>
    <row r="2" spans="1:30" x14ac:dyDescent="0.55000000000000004">
      <c r="A2" t="s">
        <v>8</v>
      </c>
      <c r="B2">
        <v>65</v>
      </c>
      <c r="C2">
        <v>9</v>
      </c>
      <c r="D2">
        <v>1</v>
      </c>
      <c r="E2" s="2">
        <v>45946</v>
      </c>
      <c r="F2" t="s">
        <v>7</v>
      </c>
      <c r="G2" t="s">
        <v>12</v>
      </c>
      <c r="H2" t="s">
        <v>5</v>
      </c>
      <c r="I2" s="1" t="s">
        <v>3</v>
      </c>
      <c r="J2" t="s">
        <v>5</v>
      </c>
      <c r="K2" s="1" t="s">
        <v>3</v>
      </c>
      <c r="L2" t="s">
        <v>18</v>
      </c>
      <c r="M2">
        <v>97</v>
      </c>
      <c r="O2">
        <v>9</v>
      </c>
      <c r="P2" t="s">
        <v>1</v>
      </c>
      <c r="Q2" t="s">
        <v>16</v>
      </c>
      <c r="R2">
        <v>30.22</v>
      </c>
      <c r="S2">
        <v>16</v>
      </c>
      <c r="T2">
        <v>6</v>
      </c>
      <c r="U2">
        <v>1</v>
      </c>
      <c r="V2">
        <v>2</v>
      </c>
      <c r="AC2" s="2"/>
    </row>
    <row r="3" spans="1:30" x14ac:dyDescent="0.55000000000000004">
      <c r="A3" t="s">
        <v>8</v>
      </c>
      <c r="B3">
        <v>66</v>
      </c>
      <c r="C3">
        <v>9</v>
      </c>
      <c r="D3">
        <v>2</v>
      </c>
      <c r="E3" s="2">
        <v>45946</v>
      </c>
      <c r="F3" t="s">
        <v>7</v>
      </c>
      <c r="G3" t="s">
        <v>6</v>
      </c>
      <c r="H3" t="s">
        <v>4</v>
      </c>
      <c r="I3" s="1" t="s">
        <v>3</v>
      </c>
      <c r="L3" t="s">
        <v>17</v>
      </c>
      <c r="M3">
        <v>98</v>
      </c>
      <c r="O3">
        <v>10</v>
      </c>
      <c r="P3" t="s">
        <v>1</v>
      </c>
      <c r="Q3" t="s">
        <v>16</v>
      </c>
      <c r="R3">
        <v>30.91</v>
      </c>
      <c r="S3">
        <v>21</v>
      </c>
      <c r="T3">
        <v>8</v>
      </c>
      <c r="U3">
        <v>2</v>
      </c>
      <c r="V3">
        <v>2</v>
      </c>
      <c r="AC3" s="2"/>
    </row>
    <row r="4" spans="1:30" x14ac:dyDescent="0.55000000000000004">
      <c r="A4" t="s">
        <v>8</v>
      </c>
      <c r="B4">
        <v>67</v>
      </c>
      <c r="C4">
        <v>9</v>
      </c>
      <c r="D4">
        <v>3</v>
      </c>
      <c r="E4" s="2">
        <v>45946</v>
      </c>
      <c r="F4" t="s">
        <v>7</v>
      </c>
      <c r="G4" t="s">
        <v>13</v>
      </c>
      <c r="H4" t="s">
        <v>5</v>
      </c>
      <c r="I4" s="1" t="s">
        <v>3</v>
      </c>
      <c r="J4" t="s">
        <v>5</v>
      </c>
      <c r="K4" t="s">
        <v>3</v>
      </c>
      <c r="M4">
        <v>99</v>
      </c>
      <c r="O4">
        <v>11</v>
      </c>
      <c r="P4" t="s">
        <v>1</v>
      </c>
      <c r="Q4" t="s">
        <v>1</v>
      </c>
      <c r="R4">
        <v>25.21</v>
      </c>
      <c r="S4">
        <v>8</v>
      </c>
      <c r="T4">
        <v>8</v>
      </c>
      <c r="U4">
        <v>2</v>
      </c>
      <c r="V4">
        <v>2</v>
      </c>
      <c r="W4" t="s">
        <v>15</v>
      </c>
      <c r="AC4" s="2">
        <v>45944</v>
      </c>
    </row>
    <row r="5" spans="1:30" x14ac:dyDescent="0.55000000000000004">
      <c r="A5" t="s">
        <v>8</v>
      </c>
      <c r="B5">
        <v>68</v>
      </c>
      <c r="C5">
        <v>9</v>
      </c>
      <c r="D5">
        <v>4</v>
      </c>
      <c r="E5" s="2">
        <v>45946</v>
      </c>
      <c r="F5" t="s">
        <v>7</v>
      </c>
      <c r="G5" t="s">
        <v>12</v>
      </c>
      <c r="H5" t="s">
        <v>10</v>
      </c>
      <c r="I5" s="1" t="s">
        <v>3</v>
      </c>
      <c r="J5" t="s">
        <v>5</v>
      </c>
      <c r="K5" t="s">
        <v>3</v>
      </c>
      <c r="M5">
        <v>100</v>
      </c>
      <c r="O5">
        <v>12</v>
      </c>
      <c r="P5" t="s">
        <v>1</v>
      </c>
      <c r="Q5" t="s">
        <v>0</v>
      </c>
      <c r="R5">
        <v>21.46</v>
      </c>
      <c r="S5">
        <v>6</v>
      </c>
      <c r="T5">
        <v>8</v>
      </c>
      <c r="U5">
        <v>2</v>
      </c>
      <c r="V5">
        <v>2</v>
      </c>
      <c r="AC5" s="2"/>
    </row>
    <row r="6" spans="1:30" x14ac:dyDescent="0.55000000000000004">
      <c r="A6" t="s">
        <v>8</v>
      </c>
      <c r="B6">
        <v>69</v>
      </c>
      <c r="C6">
        <v>9</v>
      </c>
      <c r="D6">
        <v>5</v>
      </c>
      <c r="E6" s="2">
        <v>45946</v>
      </c>
      <c r="F6" t="s">
        <v>7</v>
      </c>
      <c r="G6" t="s">
        <v>6</v>
      </c>
      <c r="H6" t="s">
        <v>10</v>
      </c>
      <c r="I6" s="1" t="s">
        <v>9</v>
      </c>
      <c r="L6" t="s">
        <v>14</v>
      </c>
      <c r="M6">
        <v>78</v>
      </c>
      <c r="O6">
        <v>13</v>
      </c>
      <c r="P6" t="s">
        <v>1</v>
      </c>
      <c r="Q6" t="s">
        <v>0</v>
      </c>
      <c r="R6">
        <v>18.350000000000001</v>
      </c>
      <c r="S6">
        <v>3</v>
      </c>
      <c r="T6">
        <v>8</v>
      </c>
      <c r="U6">
        <v>2</v>
      </c>
      <c r="V6">
        <v>2</v>
      </c>
      <c r="AC6" s="2"/>
    </row>
    <row r="7" spans="1:30" x14ac:dyDescent="0.55000000000000004">
      <c r="A7" t="s">
        <v>8</v>
      </c>
      <c r="B7">
        <v>70</v>
      </c>
      <c r="C7">
        <v>9</v>
      </c>
      <c r="D7">
        <v>6</v>
      </c>
      <c r="E7" s="2">
        <v>45946</v>
      </c>
      <c r="F7" t="s">
        <v>7</v>
      </c>
      <c r="G7" t="s">
        <v>13</v>
      </c>
      <c r="H7" t="s">
        <v>10</v>
      </c>
      <c r="I7" s="1" t="s">
        <v>3</v>
      </c>
      <c r="J7" t="s">
        <v>4</v>
      </c>
      <c r="K7" t="s">
        <v>3</v>
      </c>
      <c r="M7">
        <v>102</v>
      </c>
      <c r="N7">
        <v>58</v>
      </c>
      <c r="O7">
        <v>14</v>
      </c>
      <c r="P7" t="s">
        <v>1</v>
      </c>
      <c r="Q7" t="s">
        <v>1</v>
      </c>
      <c r="R7">
        <v>26.87</v>
      </c>
      <c r="S7">
        <v>11</v>
      </c>
      <c r="T7">
        <v>7</v>
      </c>
      <c r="U7">
        <v>2</v>
      </c>
      <c r="V7">
        <v>2</v>
      </c>
      <c r="AC7" s="2"/>
    </row>
    <row r="8" spans="1:30" x14ac:dyDescent="0.55000000000000004">
      <c r="A8" t="s">
        <v>8</v>
      </c>
      <c r="B8">
        <v>71</v>
      </c>
      <c r="C8">
        <v>9</v>
      </c>
      <c r="D8">
        <v>7</v>
      </c>
      <c r="E8" s="2">
        <v>45946</v>
      </c>
      <c r="F8" t="s">
        <v>7</v>
      </c>
      <c r="G8" t="s">
        <v>12</v>
      </c>
      <c r="H8" t="s">
        <v>10</v>
      </c>
      <c r="I8" s="1" t="s">
        <v>11</v>
      </c>
      <c r="J8" t="s">
        <v>10</v>
      </c>
      <c r="K8" t="s">
        <v>9</v>
      </c>
      <c r="M8">
        <v>84</v>
      </c>
      <c r="O8">
        <v>15</v>
      </c>
      <c r="P8" t="s">
        <v>1</v>
      </c>
      <c r="Q8" t="s">
        <v>1</v>
      </c>
      <c r="R8">
        <v>25.2</v>
      </c>
      <c r="S8">
        <v>11</v>
      </c>
      <c r="T8">
        <v>8</v>
      </c>
      <c r="U8">
        <v>2</v>
      </c>
      <c r="V8">
        <v>2</v>
      </c>
      <c r="AC8" s="2"/>
    </row>
    <row r="9" spans="1:30" x14ac:dyDescent="0.55000000000000004">
      <c r="A9" t="s">
        <v>8</v>
      </c>
      <c r="B9">
        <v>72</v>
      </c>
      <c r="C9">
        <v>9</v>
      </c>
      <c r="D9">
        <v>8</v>
      </c>
      <c r="E9" s="2">
        <v>45946</v>
      </c>
      <c r="F9" t="s">
        <v>7</v>
      </c>
      <c r="G9" t="s">
        <v>6</v>
      </c>
      <c r="H9" t="s">
        <v>5</v>
      </c>
      <c r="I9" s="1" t="s">
        <v>3</v>
      </c>
      <c r="J9" t="s">
        <v>4</v>
      </c>
      <c r="K9" t="s">
        <v>3</v>
      </c>
      <c r="L9" t="s">
        <v>2</v>
      </c>
      <c r="M9">
        <v>87</v>
      </c>
      <c r="O9">
        <v>16</v>
      </c>
      <c r="P9" t="s">
        <v>1</v>
      </c>
      <c r="Q9" t="s">
        <v>0</v>
      </c>
      <c r="R9">
        <v>21.26</v>
      </c>
      <c r="S9">
        <v>7</v>
      </c>
      <c r="T9">
        <v>6</v>
      </c>
      <c r="U9">
        <v>2</v>
      </c>
      <c r="V9">
        <v>2</v>
      </c>
      <c r="AC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D278E-32E1-454A-B1A3-B767039FD5C6}">
  <dimension ref="A1:N58"/>
  <sheetViews>
    <sheetView workbookViewId="0">
      <selection activeCell="I24" sqref="I24"/>
    </sheetView>
  </sheetViews>
  <sheetFormatPr defaultRowHeight="14.4" x14ac:dyDescent="0.55000000000000004"/>
  <cols>
    <col min="1" max="1" width="9.9453125" bestFit="1" customWidth="1"/>
  </cols>
  <sheetData>
    <row r="1" spans="1:14" x14ac:dyDescent="0.55000000000000004">
      <c r="A1" s="4" t="s">
        <v>93</v>
      </c>
      <c r="B1" s="4" t="s">
        <v>135</v>
      </c>
      <c r="C1" s="4" t="s">
        <v>136</v>
      </c>
      <c r="D1" s="4" t="s">
        <v>95</v>
      </c>
      <c r="E1" s="4" t="s">
        <v>137</v>
      </c>
      <c r="F1" s="4" t="s">
        <v>138</v>
      </c>
      <c r="G1" s="4" t="s">
        <v>139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144</v>
      </c>
      <c r="M1" s="4" t="s">
        <v>145</v>
      </c>
    </row>
    <row r="2" spans="1:14" x14ac:dyDescent="0.55000000000000004">
      <c r="A2" s="6">
        <v>45931</v>
      </c>
      <c r="B2" s="6" t="s">
        <v>27</v>
      </c>
      <c r="C2" s="6" t="s">
        <v>98</v>
      </c>
      <c r="D2">
        <v>1</v>
      </c>
      <c r="E2">
        <v>3</v>
      </c>
      <c r="F2">
        <v>10008</v>
      </c>
      <c r="G2">
        <v>13681</v>
      </c>
      <c r="H2">
        <f t="shared" ref="H2:H19" si="0">G2-F2+1</f>
        <v>3674</v>
      </c>
      <c r="I2">
        <v>5</v>
      </c>
      <c r="J2" s="7">
        <f t="shared" ref="J2:J19" si="1">IF(OR(H2="",I2=""),"", ((H2-1)*I2)/86400)</f>
        <v>0.21255787037037038</v>
      </c>
      <c r="K2" s="7"/>
      <c r="L2" s="7">
        <f t="shared" ref="L2:L19" si="2">K2+J2</f>
        <v>0.21255787037037038</v>
      </c>
      <c r="M2" t="s">
        <v>99</v>
      </c>
    </row>
    <row r="3" spans="1:14" x14ac:dyDescent="0.55000000000000004">
      <c r="A3" s="6">
        <v>45931</v>
      </c>
      <c r="B3" s="6" t="s">
        <v>27</v>
      </c>
      <c r="C3" s="6" t="s">
        <v>100</v>
      </c>
      <c r="D3">
        <v>1</v>
      </c>
      <c r="E3">
        <v>4</v>
      </c>
      <c r="F3">
        <v>12509</v>
      </c>
      <c r="G3">
        <v>16183</v>
      </c>
      <c r="H3">
        <f t="shared" si="0"/>
        <v>3675</v>
      </c>
      <c r="I3">
        <v>5</v>
      </c>
      <c r="J3" s="7">
        <f t="shared" si="1"/>
        <v>0.21261574074074074</v>
      </c>
      <c r="K3" s="7"/>
      <c r="L3" s="7">
        <f t="shared" si="2"/>
        <v>0.21261574074074074</v>
      </c>
      <c r="M3" t="s">
        <v>101</v>
      </c>
    </row>
    <row r="4" spans="1:14" x14ac:dyDescent="0.55000000000000004">
      <c r="A4" s="6">
        <v>45932</v>
      </c>
      <c r="B4" s="6" t="s">
        <v>27</v>
      </c>
      <c r="C4" s="6" t="s">
        <v>102</v>
      </c>
      <c r="D4">
        <v>2</v>
      </c>
      <c r="E4">
        <v>4</v>
      </c>
      <c r="F4">
        <v>13682</v>
      </c>
      <c r="G4">
        <v>17320</v>
      </c>
      <c r="H4">
        <f t="shared" si="0"/>
        <v>3639</v>
      </c>
      <c r="I4">
        <v>5</v>
      </c>
      <c r="J4" s="7">
        <f t="shared" si="1"/>
        <v>0.21053240740740742</v>
      </c>
      <c r="K4" s="7"/>
      <c r="L4" s="7">
        <f t="shared" si="2"/>
        <v>0.21053240740740742</v>
      </c>
      <c r="M4" t="s">
        <v>103</v>
      </c>
    </row>
    <row r="5" spans="1:14" x14ac:dyDescent="0.55000000000000004">
      <c r="A5" s="6">
        <v>45932</v>
      </c>
      <c r="B5" s="6" t="s">
        <v>27</v>
      </c>
      <c r="C5" s="6" t="s">
        <v>104</v>
      </c>
      <c r="D5">
        <v>2</v>
      </c>
      <c r="E5">
        <v>1</v>
      </c>
      <c r="F5">
        <v>12504</v>
      </c>
      <c r="G5">
        <v>16146</v>
      </c>
      <c r="H5">
        <f t="shared" si="0"/>
        <v>3643</v>
      </c>
      <c r="I5">
        <v>5</v>
      </c>
      <c r="J5" s="7">
        <f t="shared" si="1"/>
        <v>0.21076388888888889</v>
      </c>
      <c r="K5" s="7"/>
      <c r="L5" s="7">
        <f t="shared" si="2"/>
        <v>0.21076388888888889</v>
      </c>
      <c r="M5" t="s">
        <v>105</v>
      </c>
    </row>
    <row r="6" spans="1:14" x14ac:dyDescent="0.55000000000000004">
      <c r="A6" s="6">
        <v>45933</v>
      </c>
      <c r="B6" s="6" t="s">
        <v>27</v>
      </c>
      <c r="C6" s="6" t="s">
        <v>106</v>
      </c>
      <c r="D6">
        <v>3</v>
      </c>
      <c r="E6">
        <v>4</v>
      </c>
      <c r="F6">
        <v>17321</v>
      </c>
      <c r="G6">
        <v>20955</v>
      </c>
      <c r="H6">
        <f t="shared" si="0"/>
        <v>3635</v>
      </c>
      <c r="I6">
        <v>5</v>
      </c>
      <c r="J6" s="7">
        <f t="shared" si="1"/>
        <v>0.21030092592592592</v>
      </c>
      <c r="K6" s="7"/>
      <c r="L6" s="7">
        <f t="shared" si="2"/>
        <v>0.21030092592592592</v>
      </c>
      <c r="M6" t="s">
        <v>107</v>
      </c>
    </row>
    <row r="7" spans="1:14" x14ac:dyDescent="0.55000000000000004">
      <c r="A7" s="6">
        <v>45933</v>
      </c>
      <c r="B7" s="6" t="s">
        <v>27</v>
      </c>
      <c r="C7" s="6" t="s">
        <v>108</v>
      </c>
      <c r="D7">
        <v>3</v>
      </c>
      <c r="E7">
        <v>1</v>
      </c>
      <c r="F7">
        <v>16147</v>
      </c>
      <c r="G7">
        <v>19780</v>
      </c>
      <c r="H7">
        <f t="shared" si="0"/>
        <v>3634</v>
      </c>
      <c r="I7">
        <v>5</v>
      </c>
      <c r="J7" s="7">
        <f t="shared" si="1"/>
        <v>0.21024305555555556</v>
      </c>
      <c r="K7" s="7"/>
      <c r="L7" s="7">
        <f t="shared" si="2"/>
        <v>0.21024305555555556</v>
      </c>
      <c r="M7" t="s">
        <v>109</v>
      </c>
    </row>
    <row r="8" spans="1:14" x14ac:dyDescent="0.55000000000000004">
      <c r="A8" s="6">
        <v>45936</v>
      </c>
      <c r="B8" s="6" t="s">
        <v>27</v>
      </c>
      <c r="C8" s="6" t="s">
        <v>110</v>
      </c>
      <c r="D8">
        <v>4</v>
      </c>
      <c r="E8">
        <v>1</v>
      </c>
      <c r="F8">
        <v>19781</v>
      </c>
      <c r="G8">
        <v>19968</v>
      </c>
      <c r="H8">
        <f t="shared" si="0"/>
        <v>188</v>
      </c>
      <c r="I8">
        <v>5</v>
      </c>
      <c r="J8" s="7">
        <f t="shared" si="1"/>
        <v>1.0821759259259258E-2</v>
      </c>
      <c r="K8" s="7"/>
      <c r="L8" s="7">
        <f t="shared" si="2"/>
        <v>1.0821759259259258E-2</v>
      </c>
      <c r="M8" t="s">
        <v>111</v>
      </c>
    </row>
    <row r="9" spans="1:14" x14ac:dyDescent="0.55000000000000004">
      <c r="A9" s="6">
        <v>45936</v>
      </c>
      <c r="B9" s="6" t="s">
        <v>27</v>
      </c>
      <c r="C9" s="6" t="s">
        <v>112</v>
      </c>
      <c r="D9">
        <v>4</v>
      </c>
      <c r="E9">
        <v>3</v>
      </c>
      <c r="F9">
        <v>16184</v>
      </c>
      <c r="G9">
        <v>19813</v>
      </c>
      <c r="H9">
        <f t="shared" si="0"/>
        <v>3630</v>
      </c>
      <c r="I9">
        <v>5</v>
      </c>
      <c r="J9" s="7">
        <f t="shared" si="1"/>
        <v>0.21001157407407409</v>
      </c>
      <c r="K9" s="7"/>
      <c r="L9" s="7">
        <f t="shared" si="2"/>
        <v>0.21001157407407409</v>
      </c>
      <c r="M9" t="s">
        <v>113</v>
      </c>
    </row>
    <row r="10" spans="1:14" x14ac:dyDescent="0.55000000000000004">
      <c r="A10" s="6">
        <v>45943</v>
      </c>
      <c r="B10" s="6" t="s">
        <v>20</v>
      </c>
      <c r="C10" s="6" t="s">
        <v>114</v>
      </c>
      <c r="D10">
        <v>5</v>
      </c>
      <c r="E10">
        <v>3</v>
      </c>
      <c r="F10">
        <v>29814</v>
      </c>
      <c r="G10">
        <v>33456</v>
      </c>
      <c r="H10">
        <f t="shared" si="0"/>
        <v>3643</v>
      </c>
      <c r="I10">
        <v>5</v>
      </c>
      <c r="J10" s="7">
        <f t="shared" si="1"/>
        <v>0.21076388888888889</v>
      </c>
      <c r="K10" s="7"/>
      <c r="L10" s="7">
        <f t="shared" si="2"/>
        <v>0.21076388888888889</v>
      </c>
      <c r="M10" t="s">
        <v>115</v>
      </c>
    </row>
    <row r="11" spans="1:14" x14ac:dyDescent="0.55000000000000004">
      <c r="A11" s="6">
        <v>45943</v>
      </c>
      <c r="B11" s="6" t="s">
        <v>20</v>
      </c>
      <c r="C11" s="6" t="s">
        <v>116</v>
      </c>
      <c r="D11">
        <v>5</v>
      </c>
      <c r="E11">
        <v>4</v>
      </c>
      <c r="F11">
        <v>10956</v>
      </c>
      <c r="G11">
        <v>13415</v>
      </c>
      <c r="H11">
        <f t="shared" si="0"/>
        <v>2460</v>
      </c>
      <c r="I11">
        <v>5</v>
      </c>
      <c r="J11" s="7">
        <f t="shared" si="1"/>
        <v>0.14230324074074074</v>
      </c>
      <c r="K11" s="7"/>
      <c r="L11" s="7">
        <f t="shared" si="2"/>
        <v>0.14230324074074074</v>
      </c>
      <c r="M11" t="s">
        <v>117</v>
      </c>
      <c r="N11" t="s">
        <v>118</v>
      </c>
    </row>
    <row r="12" spans="1:14" x14ac:dyDescent="0.55000000000000004">
      <c r="A12" s="6">
        <v>45944</v>
      </c>
      <c r="B12" s="6" t="s">
        <v>20</v>
      </c>
      <c r="C12" s="6" t="s">
        <v>119</v>
      </c>
      <c r="D12">
        <v>6</v>
      </c>
      <c r="E12">
        <v>3</v>
      </c>
      <c r="F12">
        <v>13457</v>
      </c>
      <c r="G12">
        <v>17074</v>
      </c>
      <c r="H12">
        <f t="shared" si="0"/>
        <v>3618</v>
      </c>
      <c r="I12">
        <v>5</v>
      </c>
      <c r="J12" s="7">
        <f t="shared" si="1"/>
        <v>0.20931712962962962</v>
      </c>
      <c r="K12" s="7"/>
      <c r="L12" s="7">
        <f t="shared" si="2"/>
        <v>0.20931712962962962</v>
      </c>
      <c r="M12" t="s">
        <v>120</v>
      </c>
    </row>
    <row r="13" spans="1:14" x14ac:dyDescent="0.55000000000000004">
      <c r="A13" s="6">
        <v>45944</v>
      </c>
      <c r="B13" s="6" t="s">
        <v>20</v>
      </c>
      <c r="C13" s="6" t="s">
        <v>121</v>
      </c>
      <c r="D13">
        <v>6</v>
      </c>
      <c r="E13">
        <v>4</v>
      </c>
      <c r="F13">
        <v>13416</v>
      </c>
      <c r="G13">
        <v>17036</v>
      </c>
      <c r="H13">
        <f t="shared" si="0"/>
        <v>3621</v>
      </c>
      <c r="I13">
        <v>5</v>
      </c>
      <c r="J13" s="7">
        <f t="shared" si="1"/>
        <v>0.20949074074074073</v>
      </c>
      <c r="K13" s="7"/>
      <c r="L13" s="7">
        <f t="shared" si="2"/>
        <v>0.20949074074074073</v>
      </c>
      <c r="M13" t="s">
        <v>122</v>
      </c>
    </row>
    <row r="14" spans="1:14" x14ac:dyDescent="0.55000000000000004">
      <c r="A14" s="6">
        <v>45945</v>
      </c>
      <c r="B14" s="6" t="s">
        <v>20</v>
      </c>
      <c r="C14" s="6" t="s">
        <v>123</v>
      </c>
      <c r="D14">
        <v>7</v>
      </c>
      <c r="E14">
        <v>3</v>
      </c>
      <c r="F14">
        <v>27077</v>
      </c>
      <c r="G14">
        <v>30697</v>
      </c>
      <c r="H14">
        <f t="shared" si="0"/>
        <v>3621</v>
      </c>
      <c r="I14">
        <v>5</v>
      </c>
      <c r="J14" s="7">
        <f t="shared" si="1"/>
        <v>0.20949074074074073</v>
      </c>
      <c r="K14" s="7"/>
      <c r="L14" s="7">
        <f t="shared" si="2"/>
        <v>0.20949074074074073</v>
      </c>
      <c r="M14" t="s">
        <v>124</v>
      </c>
    </row>
    <row r="15" spans="1:14" x14ac:dyDescent="0.55000000000000004">
      <c r="A15" s="6">
        <v>45945</v>
      </c>
      <c r="B15" s="6" t="s">
        <v>20</v>
      </c>
      <c r="C15" s="6" t="s">
        <v>125</v>
      </c>
      <c r="D15">
        <v>7</v>
      </c>
      <c r="E15">
        <v>4</v>
      </c>
      <c r="F15">
        <v>17037</v>
      </c>
      <c r="G15">
        <v>20659</v>
      </c>
      <c r="H15">
        <f t="shared" si="0"/>
        <v>3623</v>
      </c>
      <c r="I15">
        <v>5</v>
      </c>
      <c r="J15" s="7">
        <f t="shared" si="1"/>
        <v>0.20960648148148148</v>
      </c>
      <c r="K15" s="7"/>
      <c r="L15" s="7">
        <f t="shared" si="2"/>
        <v>0.20960648148148148</v>
      </c>
      <c r="M15" t="s">
        <v>126</v>
      </c>
    </row>
    <row r="16" spans="1:14" ht="15" customHeight="1" x14ac:dyDescent="0.55000000000000004">
      <c r="A16" s="6">
        <v>45946</v>
      </c>
      <c r="B16" s="6" t="s">
        <v>20</v>
      </c>
      <c r="C16" s="6" t="s">
        <v>127</v>
      </c>
      <c r="D16">
        <v>8</v>
      </c>
      <c r="E16">
        <v>3</v>
      </c>
      <c r="F16">
        <v>10698</v>
      </c>
      <c r="G16">
        <v>14310</v>
      </c>
      <c r="H16">
        <f t="shared" si="0"/>
        <v>3613</v>
      </c>
      <c r="I16">
        <v>5</v>
      </c>
      <c r="J16" s="7">
        <f t="shared" si="1"/>
        <v>0.20902777777777778</v>
      </c>
      <c r="K16" s="7"/>
      <c r="L16" s="7">
        <f t="shared" si="2"/>
        <v>0.20902777777777778</v>
      </c>
      <c r="M16" t="s">
        <v>128</v>
      </c>
    </row>
    <row r="17" spans="1:13" x14ac:dyDescent="0.55000000000000004">
      <c r="A17" s="6">
        <v>45946</v>
      </c>
      <c r="B17" s="6" t="s">
        <v>20</v>
      </c>
      <c r="C17" s="6" t="s">
        <v>129</v>
      </c>
      <c r="D17">
        <v>8</v>
      </c>
      <c r="E17">
        <v>4</v>
      </c>
      <c r="F17">
        <v>10660</v>
      </c>
      <c r="G17">
        <v>14273</v>
      </c>
      <c r="H17">
        <f t="shared" si="0"/>
        <v>3614</v>
      </c>
      <c r="I17">
        <v>5</v>
      </c>
      <c r="J17" s="7">
        <f t="shared" si="1"/>
        <v>0.20908564814814815</v>
      </c>
      <c r="K17" s="7"/>
      <c r="L17" s="7">
        <f t="shared" si="2"/>
        <v>0.20908564814814815</v>
      </c>
      <c r="M17" t="s">
        <v>130</v>
      </c>
    </row>
    <row r="18" spans="1:13" x14ac:dyDescent="0.55000000000000004">
      <c r="A18" s="6">
        <v>45947</v>
      </c>
      <c r="B18" s="6" t="s">
        <v>8</v>
      </c>
      <c r="C18" s="6" t="s">
        <v>131</v>
      </c>
      <c r="D18">
        <v>9</v>
      </c>
      <c r="E18">
        <v>3</v>
      </c>
      <c r="F18">
        <v>14311</v>
      </c>
      <c r="G18">
        <v>27762</v>
      </c>
      <c r="H18">
        <f t="shared" si="0"/>
        <v>13452</v>
      </c>
      <c r="I18">
        <v>5</v>
      </c>
      <c r="J18" s="7">
        <f t="shared" si="1"/>
        <v>0.77841435185185182</v>
      </c>
      <c r="K18" s="7"/>
      <c r="L18" s="7">
        <f t="shared" si="2"/>
        <v>0.77841435185185182</v>
      </c>
      <c r="M18" t="s">
        <v>132</v>
      </c>
    </row>
    <row r="19" spans="1:13" x14ac:dyDescent="0.55000000000000004">
      <c r="A19" s="6">
        <v>45947</v>
      </c>
      <c r="B19" s="6" t="s">
        <v>8</v>
      </c>
      <c r="C19" s="6" t="s">
        <v>133</v>
      </c>
      <c r="D19">
        <v>9</v>
      </c>
      <c r="E19">
        <v>4</v>
      </c>
      <c r="F19">
        <v>14274</v>
      </c>
      <c r="G19">
        <v>27708</v>
      </c>
      <c r="H19">
        <f t="shared" si="0"/>
        <v>13435</v>
      </c>
      <c r="I19">
        <v>5</v>
      </c>
      <c r="J19" s="7">
        <f t="shared" si="1"/>
        <v>0.77743055555555551</v>
      </c>
      <c r="K19" s="7"/>
      <c r="L19" s="7">
        <f t="shared" si="2"/>
        <v>0.77743055555555551</v>
      </c>
      <c r="M19" t="s">
        <v>134</v>
      </c>
    </row>
    <row r="23" spans="1:13" x14ac:dyDescent="0.55000000000000004">
      <c r="A23" t="s">
        <v>146</v>
      </c>
      <c r="C23" t="s">
        <v>147</v>
      </c>
    </row>
    <row r="24" spans="1:13" x14ac:dyDescent="0.55000000000000004">
      <c r="A24">
        <v>1012</v>
      </c>
      <c r="B24">
        <v>732</v>
      </c>
      <c r="C24">
        <v>778</v>
      </c>
      <c r="D24">
        <v>467</v>
      </c>
    </row>
    <row r="25" spans="1:13" x14ac:dyDescent="0.55000000000000004">
      <c r="A25">
        <v>2036</v>
      </c>
      <c r="B25">
        <v>732</v>
      </c>
      <c r="C25">
        <v>911</v>
      </c>
      <c r="D25">
        <v>467</v>
      </c>
    </row>
    <row r="26" spans="1:13" x14ac:dyDescent="0.55000000000000004">
      <c r="A26">
        <v>2036</v>
      </c>
      <c r="B26">
        <v>1312</v>
      </c>
      <c r="C26">
        <v>911</v>
      </c>
      <c r="D26">
        <v>549</v>
      </c>
    </row>
    <row r="27" spans="1:13" x14ac:dyDescent="0.55000000000000004">
      <c r="A27">
        <v>1012</v>
      </c>
      <c r="B27">
        <v>1312</v>
      </c>
      <c r="C27">
        <v>778</v>
      </c>
      <c r="D27">
        <v>549</v>
      </c>
    </row>
    <row r="28" spans="1:13" x14ac:dyDescent="0.55000000000000004">
      <c r="A28" t="s">
        <v>148</v>
      </c>
    </row>
    <row r="29" spans="1:13" x14ac:dyDescent="0.55000000000000004">
      <c r="A29">
        <v>2036</v>
      </c>
      <c r="B29">
        <v>732</v>
      </c>
    </row>
    <row r="30" spans="1:13" x14ac:dyDescent="0.55000000000000004">
      <c r="A30">
        <v>3008</v>
      </c>
      <c r="B30">
        <v>732</v>
      </c>
    </row>
    <row r="31" spans="1:13" x14ac:dyDescent="0.55000000000000004">
      <c r="A31">
        <v>3008</v>
      </c>
      <c r="B31">
        <v>1292</v>
      </c>
    </row>
    <row r="32" spans="1:13" x14ac:dyDescent="0.55000000000000004">
      <c r="A32">
        <v>2036</v>
      </c>
      <c r="B32">
        <v>1292</v>
      </c>
    </row>
    <row r="33" spans="1:2" x14ac:dyDescent="0.55000000000000004">
      <c r="A33" t="s">
        <v>149</v>
      </c>
    </row>
    <row r="34" spans="1:2" x14ac:dyDescent="0.55000000000000004">
      <c r="A34">
        <v>1116</v>
      </c>
      <c r="B34">
        <v>1752</v>
      </c>
    </row>
    <row r="35" spans="1:2" x14ac:dyDescent="0.55000000000000004">
      <c r="A35">
        <v>2044</v>
      </c>
      <c r="B35">
        <v>1752</v>
      </c>
    </row>
    <row r="36" spans="1:2" x14ac:dyDescent="0.55000000000000004">
      <c r="A36">
        <v>2044</v>
      </c>
      <c r="B36">
        <v>2340</v>
      </c>
    </row>
    <row r="37" spans="1:2" x14ac:dyDescent="0.55000000000000004">
      <c r="A37">
        <v>1116</v>
      </c>
      <c r="B37">
        <v>2340</v>
      </c>
    </row>
    <row r="38" spans="1:2" x14ac:dyDescent="0.55000000000000004">
      <c r="A38" t="s">
        <v>150</v>
      </c>
    </row>
    <row r="39" spans="1:2" x14ac:dyDescent="0.55000000000000004">
      <c r="A39">
        <v>2044</v>
      </c>
      <c r="B39">
        <v>1680</v>
      </c>
    </row>
    <row r="40" spans="1:2" x14ac:dyDescent="0.55000000000000004">
      <c r="A40">
        <v>2936</v>
      </c>
      <c r="B40">
        <v>1680</v>
      </c>
    </row>
    <row r="41" spans="1:2" x14ac:dyDescent="0.55000000000000004">
      <c r="A41">
        <v>2936</v>
      </c>
      <c r="B41">
        <v>2344</v>
      </c>
    </row>
    <row r="42" spans="1:2" x14ac:dyDescent="0.55000000000000004">
      <c r="A42">
        <v>2044</v>
      </c>
      <c r="B42">
        <v>2344</v>
      </c>
    </row>
    <row r="43" spans="1:2" x14ac:dyDescent="0.55000000000000004">
      <c r="A43" t="s">
        <v>151</v>
      </c>
    </row>
    <row r="48" spans="1:2" x14ac:dyDescent="0.55000000000000004">
      <c r="A48" t="s">
        <v>152</v>
      </c>
    </row>
    <row r="53" spans="1:1" x14ac:dyDescent="0.55000000000000004">
      <c r="A53" t="s">
        <v>153</v>
      </c>
    </row>
    <row r="58" spans="1:1" x14ac:dyDescent="0.55000000000000004">
      <c r="A58" t="s">
        <v>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DF2F7-7B07-467C-B845-65DDCE944602}">
  <dimension ref="A1:Y49"/>
  <sheetViews>
    <sheetView zoomScale="70" zoomScaleNormal="70" workbookViewId="0">
      <selection activeCell="N1" sqref="N1"/>
    </sheetView>
  </sheetViews>
  <sheetFormatPr defaultRowHeight="14.4" x14ac:dyDescent="0.55000000000000004"/>
  <cols>
    <col min="7" max="7" width="9.83984375" bestFit="1" customWidth="1"/>
    <col min="9" max="9" width="9.578125" bestFit="1" customWidth="1"/>
    <col min="10" max="10" width="9" bestFit="1" customWidth="1"/>
    <col min="11" max="11" width="8.5234375" bestFit="1" customWidth="1"/>
    <col min="12" max="12" width="7.9453125" bestFit="1" customWidth="1"/>
    <col min="13" max="13" width="12" customWidth="1"/>
    <col min="18" max="18" width="9.15625" bestFit="1" customWidth="1"/>
    <col min="24" max="24" width="9.83984375" bestFit="1" customWidth="1"/>
  </cols>
  <sheetData>
    <row r="1" spans="1:25" x14ac:dyDescent="0.55000000000000004">
      <c r="A1" s="4" t="s">
        <v>135</v>
      </c>
      <c r="B1" s="4" t="s">
        <v>96</v>
      </c>
      <c r="C1" s="4" t="s">
        <v>95</v>
      </c>
      <c r="D1" s="4" t="s">
        <v>184</v>
      </c>
      <c r="E1" s="4" t="s">
        <v>92</v>
      </c>
      <c r="F1" s="4" t="s">
        <v>183</v>
      </c>
      <c r="G1" s="4" t="s">
        <v>93</v>
      </c>
      <c r="H1" s="4" t="s">
        <v>143</v>
      </c>
      <c r="I1" s="4" t="s">
        <v>182</v>
      </c>
      <c r="J1" s="4" t="s">
        <v>181</v>
      </c>
      <c r="K1" s="4" t="s">
        <v>180</v>
      </c>
      <c r="L1" s="4" t="s">
        <v>177</v>
      </c>
      <c r="M1" s="4" t="s">
        <v>176</v>
      </c>
      <c r="N1" s="4" t="s">
        <v>175</v>
      </c>
      <c r="O1" s="4" t="s">
        <v>46</v>
      </c>
      <c r="P1" s="4" t="s">
        <v>45</v>
      </c>
      <c r="Q1" s="4" t="s">
        <v>43</v>
      </c>
      <c r="R1" s="4" t="s">
        <v>42</v>
      </c>
      <c r="S1" s="4" t="s">
        <v>193</v>
      </c>
      <c r="T1" s="4" t="s">
        <v>186</v>
      </c>
      <c r="U1" s="4" t="s">
        <v>194</v>
      </c>
      <c r="V1" s="4" t="s">
        <v>195</v>
      </c>
      <c r="W1" s="4" t="s">
        <v>196</v>
      </c>
      <c r="X1" s="4" t="s">
        <v>165</v>
      </c>
      <c r="Y1" s="4" t="s">
        <v>29</v>
      </c>
    </row>
    <row r="2" spans="1:25" x14ac:dyDescent="0.55000000000000004">
      <c r="A2" t="s">
        <v>156</v>
      </c>
      <c r="B2">
        <v>1</v>
      </c>
      <c r="C2">
        <v>2</v>
      </c>
      <c r="D2">
        <v>1</v>
      </c>
      <c r="E2" t="s">
        <v>12</v>
      </c>
      <c r="F2" t="s">
        <v>155</v>
      </c>
      <c r="G2" s="2">
        <v>45953</v>
      </c>
      <c r="H2" s="8">
        <v>0.45833333333333331</v>
      </c>
      <c r="I2">
        <v>0</v>
      </c>
      <c r="J2">
        <v>10</v>
      </c>
      <c r="K2">
        <v>0.47839999999999999</v>
      </c>
      <c r="L2">
        <f>J2</f>
        <v>10</v>
      </c>
      <c r="M2">
        <v>9.5</v>
      </c>
      <c r="N2">
        <f>M2/L2</f>
        <v>0.95</v>
      </c>
      <c r="O2">
        <v>17</v>
      </c>
      <c r="P2">
        <v>23</v>
      </c>
      <c r="Q2" t="s">
        <v>1</v>
      </c>
      <c r="R2" t="s">
        <v>1</v>
      </c>
      <c r="S2">
        <v>24.15</v>
      </c>
      <c r="T2">
        <v>8</v>
      </c>
      <c r="U2">
        <v>4</v>
      </c>
      <c r="V2">
        <v>2</v>
      </c>
      <c r="W2">
        <v>2</v>
      </c>
    </row>
    <row r="3" spans="1:25" x14ac:dyDescent="0.55000000000000004">
      <c r="A3" t="s">
        <v>156</v>
      </c>
      <c r="B3">
        <v>2</v>
      </c>
      <c r="C3">
        <v>2</v>
      </c>
      <c r="D3">
        <v>2</v>
      </c>
      <c r="E3" t="s">
        <v>6</v>
      </c>
      <c r="F3" t="s">
        <v>155</v>
      </c>
      <c r="G3" s="2">
        <v>45953</v>
      </c>
      <c r="H3" s="8">
        <v>0.45833333333333331</v>
      </c>
      <c r="I3">
        <v>0</v>
      </c>
      <c r="J3">
        <v>10</v>
      </c>
      <c r="K3">
        <v>0.4506</v>
      </c>
      <c r="L3">
        <f t="shared" ref="L3:L49" si="0">J3</f>
        <v>10</v>
      </c>
      <c r="M3">
        <v>10</v>
      </c>
      <c r="N3">
        <f t="shared" ref="N3:N17" si="1">M3/L3</f>
        <v>1</v>
      </c>
      <c r="O3">
        <v>19</v>
      </c>
      <c r="P3">
        <v>17</v>
      </c>
      <c r="Q3" t="s">
        <v>162</v>
      </c>
      <c r="R3" t="s">
        <v>1</v>
      </c>
      <c r="S3">
        <v>25.35</v>
      </c>
      <c r="T3">
        <v>12</v>
      </c>
      <c r="U3">
        <v>7</v>
      </c>
      <c r="V3">
        <v>2</v>
      </c>
      <c r="W3">
        <v>2</v>
      </c>
    </row>
    <row r="4" spans="1:25" x14ac:dyDescent="0.55000000000000004">
      <c r="A4" t="s">
        <v>156</v>
      </c>
      <c r="B4">
        <v>3</v>
      </c>
      <c r="C4">
        <v>2</v>
      </c>
      <c r="D4">
        <v>3</v>
      </c>
      <c r="E4" t="s">
        <v>13</v>
      </c>
      <c r="F4" t="s">
        <v>155</v>
      </c>
      <c r="G4" s="2">
        <v>45953</v>
      </c>
      <c r="H4" s="8">
        <v>0.45833333333333298</v>
      </c>
      <c r="I4">
        <v>0</v>
      </c>
      <c r="J4">
        <v>10</v>
      </c>
      <c r="K4">
        <v>0.47849999999999998</v>
      </c>
      <c r="L4">
        <f t="shared" si="0"/>
        <v>10</v>
      </c>
      <c r="M4">
        <v>9</v>
      </c>
      <c r="N4">
        <f t="shared" si="1"/>
        <v>0.9</v>
      </c>
      <c r="O4">
        <v>20</v>
      </c>
      <c r="P4">
        <v>14</v>
      </c>
      <c r="Q4" t="s">
        <v>162</v>
      </c>
      <c r="R4" t="s">
        <v>1</v>
      </c>
      <c r="S4">
        <v>26.52</v>
      </c>
      <c r="T4">
        <v>11</v>
      </c>
      <c r="U4">
        <v>8</v>
      </c>
      <c r="V4">
        <v>2</v>
      </c>
      <c r="W4">
        <v>2</v>
      </c>
    </row>
    <row r="5" spans="1:25" x14ac:dyDescent="0.55000000000000004">
      <c r="A5" t="s">
        <v>156</v>
      </c>
      <c r="B5">
        <v>4</v>
      </c>
      <c r="C5">
        <v>2</v>
      </c>
      <c r="D5">
        <v>4</v>
      </c>
      <c r="E5" t="s">
        <v>12</v>
      </c>
      <c r="F5" t="s">
        <v>155</v>
      </c>
      <c r="G5" s="2">
        <v>45953</v>
      </c>
      <c r="H5" s="8">
        <v>0.45833333333333298</v>
      </c>
      <c r="I5">
        <v>0</v>
      </c>
      <c r="J5">
        <v>10</v>
      </c>
      <c r="K5">
        <v>0.4909</v>
      </c>
      <c r="L5">
        <f t="shared" si="0"/>
        <v>10</v>
      </c>
      <c r="M5">
        <v>10</v>
      </c>
      <c r="N5">
        <f t="shared" si="1"/>
        <v>1</v>
      </c>
      <c r="O5">
        <v>21</v>
      </c>
      <c r="Q5" t="s">
        <v>1</v>
      </c>
      <c r="R5" t="s">
        <v>1</v>
      </c>
      <c r="S5">
        <v>25.39</v>
      </c>
      <c r="T5">
        <v>9</v>
      </c>
      <c r="U5">
        <v>7</v>
      </c>
      <c r="V5">
        <v>2</v>
      </c>
      <c r="W5">
        <v>2</v>
      </c>
      <c r="X5" t="s">
        <v>161</v>
      </c>
    </row>
    <row r="6" spans="1:25" x14ac:dyDescent="0.55000000000000004">
      <c r="A6" t="s">
        <v>156</v>
      </c>
      <c r="B6">
        <v>5</v>
      </c>
      <c r="C6">
        <v>2</v>
      </c>
      <c r="D6">
        <v>5</v>
      </c>
      <c r="E6" t="s">
        <v>6</v>
      </c>
      <c r="F6" t="s">
        <v>155</v>
      </c>
      <c r="G6" s="2">
        <v>45953</v>
      </c>
      <c r="H6" s="8">
        <v>0.45833333333333298</v>
      </c>
      <c r="I6">
        <v>0</v>
      </c>
      <c r="J6">
        <v>10</v>
      </c>
      <c r="K6">
        <v>0.47770000000000001</v>
      </c>
      <c r="L6">
        <f t="shared" si="0"/>
        <v>10</v>
      </c>
      <c r="M6">
        <v>8</v>
      </c>
      <c r="N6">
        <f t="shared" si="1"/>
        <v>0.8</v>
      </c>
      <c r="O6">
        <v>22</v>
      </c>
      <c r="Q6" t="s">
        <v>1</v>
      </c>
      <c r="R6" t="s">
        <v>1</v>
      </c>
      <c r="S6">
        <v>28.55</v>
      </c>
      <c r="T6">
        <v>17</v>
      </c>
      <c r="U6">
        <v>8</v>
      </c>
      <c r="V6">
        <v>2</v>
      </c>
      <c r="W6">
        <v>2</v>
      </c>
    </row>
    <row r="7" spans="1:25" x14ac:dyDescent="0.55000000000000004">
      <c r="A7" t="s">
        <v>156</v>
      </c>
      <c r="B7">
        <v>6</v>
      </c>
      <c r="C7">
        <v>2</v>
      </c>
      <c r="D7">
        <v>6</v>
      </c>
      <c r="E7" t="s">
        <v>13</v>
      </c>
      <c r="F7" t="s">
        <v>155</v>
      </c>
      <c r="G7" s="2">
        <v>45953</v>
      </c>
      <c r="H7" s="8">
        <v>0.45833333333333298</v>
      </c>
      <c r="I7">
        <v>0</v>
      </c>
      <c r="J7">
        <v>10</v>
      </c>
      <c r="K7">
        <v>0.47989999999999999</v>
      </c>
      <c r="L7">
        <f t="shared" si="0"/>
        <v>10</v>
      </c>
      <c r="M7">
        <v>10</v>
      </c>
      <c r="N7">
        <f t="shared" si="1"/>
        <v>1</v>
      </c>
      <c r="O7">
        <v>23</v>
      </c>
      <c r="P7">
        <v>9</v>
      </c>
      <c r="Q7" t="s">
        <v>1</v>
      </c>
      <c r="R7" t="s">
        <v>1</v>
      </c>
      <c r="S7">
        <v>24.46</v>
      </c>
      <c r="T7">
        <v>10</v>
      </c>
      <c r="U7">
        <v>8</v>
      </c>
      <c r="V7">
        <v>2</v>
      </c>
      <c r="W7">
        <v>2</v>
      </c>
    </row>
    <row r="8" spans="1:25" x14ac:dyDescent="0.55000000000000004">
      <c r="A8" t="s">
        <v>156</v>
      </c>
      <c r="B8">
        <v>7</v>
      </c>
      <c r="C8">
        <v>2</v>
      </c>
      <c r="D8">
        <v>7</v>
      </c>
      <c r="E8" t="s">
        <v>12</v>
      </c>
      <c r="F8" t="s">
        <v>155</v>
      </c>
      <c r="G8" s="2">
        <v>45953</v>
      </c>
      <c r="H8" s="8">
        <v>0.45833333333333298</v>
      </c>
      <c r="I8">
        <v>0</v>
      </c>
      <c r="J8">
        <v>10</v>
      </c>
      <c r="K8">
        <v>0.46079999999999999</v>
      </c>
      <c r="L8">
        <f t="shared" si="0"/>
        <v>10</v>
      </c>
      <c r="M8">
        <v>10</v>
      </c>
      <c r="N8">
        <f t="shared" si="1"/>
        <v>1</v>
      </c>
      <c r="O8">
        <v>24</v>
      </c>
      <c r="Q8" t="s">
        <v>1</v>
      </c>
      <c r="R8" t="s">
        <v>1</v>
      </c>
      <c r="S8">
        <v>28.59</v>
      </c>
      <c r="T8">
        <v>15</v>
      </c>
      <c r="U8">
        <v>8</v>
      </c>
      <c r="V8">
        <v>1</v>
      </c>
      <c r="W8">
        <v>2</v>
      </c>
    </row>
    <row r="9" spans="1:25" x14ac:dyDescent="0.55000000000000004">
      <c r="A9" t="s">
        <v>156</v>
      </c>
      <c r="B9">
        <v>8</v>
      </c>
      <c r="C9">
        <v>2</v>
      </c>
      <c r="D9">
        <v>8</v>
      </c>
      <c r="E9" t="s">
        <v>6</v>
      </c>
      <c r="F9" t="s">
        <v>155</v>
      </c>
      <c r="G9" s="2">
        <v>45953</v>
      </c>
      <c r="H9" s="8">
        <v>0.45833333333333298</v>
      </c>
      <c r="I9">
        <v>0</v>
      </c>
      <c r="J9">
        <v>10</v>
      </c>
      <c r="K9">
        <v>0.46360000000000001</v>
      </c>
      <c r="L9">
        <f t="shared" si="0"/>
        <v>10</v>
      </c>
      <c r="M9">
        <v>9.5</v>
      </c>
      <c r="N9">
        <f t="shared" si="1"/>
        <v>0.95</v>
      </c>
      <c r="O9">
        <v>25</v>
      </c>
      <c r="P9">
        <v>30</v>
      </c>
      <c r="Q9" t="s">
        <v>1</v>
      </c>
      <c r="R9" t="s">
        <v>1</v>
      </c>
      <c r="S9">
        <v>26.55</v>
      </c>
      <c r="T9">
        <v>13</v>
      </c>
      <c r="U9">
        <v>7</v>
      </c>
      <c r="V9">
        <v>2</v>
      </c>
      <c r="W9">
        <v>2</v>
      </c>
    </row>
    <row r="10" spans="1:25" x14ac:dyDescent="0.55000000000000004">
      <c r="A10" t="s">
        <v>156</v>
      </c>
      <c r="B10">
        <v>9</v>
      </c>
      <c r="C10">
        <v>2</v>
      </c>
      <c r="D10">
        <v>9</v>
      </c>
      <c r="E10" t="s">
        <v>13</v>
      </c>
      <c r="F10" t="s">
        <v>155</v>
      </c>
      <c r="G10" s="2">
        <v>45953</v>
      </c>
      <c r="H10" s="8">
        <v>0.45833333333333298</v>
      </c>
      <c r="I10">
        <v>0</v>
      </c>
      <c r="J10">
        <v>10</v>
      </c>
      <c r="K10">
        <v>0.50549999999999995</v>
      </c>
      <c r="L10">
        <f t="shared" si="0"/>
        <v>10</v>
      </c>
      <c r="M10">
        <v>10</v>
      </c>
      <c r="N10">
        <f t="shared" si="1"/>
        <v>1</v>
      </c>
      <c r="O10">
        <v>26</v>
      </c>
      <c r="Q10" t="s">
        <v>1</v>
      </c>
      <c r="R10" t="s">
        <v>1</v>
      </c>
      <c r="S10">
        <v>23.62</v>
      </c>
      <c r="T10">
        <v>8</v>
      </c>
      <c r="U10">
        <v>8</v>
      </c>
      <c r="V10">
        <v>2</v>
      </c>
      <c r="W10">
        <v>2</v>
      </c>
      <c r="X10" t="s">
        <v>160</v>
      </c>
    </row>
    <row r="11" spans="1:25" x14ac:dyDescent="0.55000000000000004">
      <c r="A11" t="s">
        <v>156</v>
      </c>
      <c r="B11">
        <v>10</v>
      </c>
      <c r="C11">
        <v>2</v>
      </c>
      <c r="D11">
        <v>10</v>
      </c>
      <c r="E11" t="s">
        <v>12</v>
      </c>
      <c r="F11" t="s">
        <v>155</v>
      </c>
      <c r="G11" s="2">
        <v>45953</v>
      </c>
      <c r="H11" s="8">
        <v>0.45833333333333298</v>
      </c>
      <c r="I11">
        <v>0</v>
      </c>
      <c r="J11">
        <v>10</v>
      </c>
      <c r="K11">
        <v>0.51680000000000004</v>
      </c>
      <c r="L11">
        <f t="shared" si="0"/>
        <v>10</v>
      </c>
      <c r="M11">
        <v>10</v>
      </c>
      <c r="N11">
        <f t="shared" si="1"/>
        <v>1</v>
      </c>
      <c r="O11">
        <v>28</v>
      </c>
      <c r="Q11" t="s">
        <v>1</v>
      </c>
      <c r="R11" t="s">
        <v>1</v>
      </c>
      <c r="S11">
        <v>29.36</v>
      </c>
      <c r="T11">
        <v>17</v>
      </c>
      <c r="U11">
        <v>7</v>
      </c>
      <c r="V11">
        <v>2</v>
      </c>
      <c r="W11">
        <v>2</v>
      </c>
    </row>
    <row r="12" spans="1:25" x14ac:dyDescent="0.55000000000000004">
      <c r="A12" t="s">
        <v>156</v>
      </c>
      <c r="B12">
        <v>11</v>
      </c>
      <c r="C12">
        <v>2</v>
      </c>
      <c r="D12">
        <v>11</v>
      </c>
      <c r="E12" t="s">
        <v>6</v>
      </c>
      <c r="F12" t="s">
        <v>155</v>
      </c>
      <c r="G12" s="2">
        <v>45953</v>
      </c>
      <c r="H12" s="8">
        <v>0.45833333333333298</v>
      </c>
      <c r="I12">
        <v>0</v>
      </c>
      <c r="J12">
        <v>10</v>
      </c>
      <c r="K12">
        <v>0.47489999999999999</v>
      </c>
      <c r="L12">
        <f t="shared" si="0"/>
        <v>10</v>
      </c>
      <c r="M12">
        <v>10</v>
      </c>
      <c r="N12">
        <f t="shared" si="1"/>
        <v>1</v>
      </c>
      <c r="O12">
        <v>29</v>
      </c>
      <c r="P12">
        <v>11</v>
      </c>
      <c r="Q12" t="s">
        <v>1</v>
      </c>
      <c r="R12" t="s">
        <v>1</v>
      </c>
      <c r="S12">
        <v>29.46</v>
      </c>
      <c r="T12">
        <v>17</v>
      </c>
      <c r="U12">
        <v>8</v>
      </c>
      <c r="V12">
        <v>2</v>
      </c>
      <c r="W12">
        <v>2</v>
      </c>
    </row>
    <row r="13" spans="1:25" x14ac:dyDescent="0.55000000000000004">
      <c r="A13" t="s">
        <v>156</v>
      </c>
      <c r="B13">
        <v>12</v>
      </c>
      <c r="C13">
        <v>2</v>
      </c>
      <c r="D13">
        <v>12</v>
      </c>
      <c r="E13" t="s">
        <v>13</v>
      </c>
      <c r="F13" t="s">
        <v>155</v>
      </c>
      <c r="G13" s="2">
        <v>45953</v>
      </c>
      <c r="H13" s="8">
        <v>0.45833333333333298</v>
      </c>
      <c r="I13">
        <v>0</v>
      </c>
      <c r="J13">
        <v>10</v>
      </c>
      <c r="K13">
        <v>0.50090000000000001</v>
      </c>
      <c r="L13">
        <f t="shared" si="0"/>
        <v>10</v>
      </c>
      <c r="M13">
        <v>10</v>
      </c>
      <c r="N13">
        <f t="shared" si="1"/>
        <v>1</v>
      </c>
      <c r="O13">
        <v>32</v>
      </c>
      <c r="P13">
        <v>13</v>
      </c>
      <c r="Q13" t="s">
        <v>1</v>
      </c>
      <c r="R13" t="s">
        <v>1</v>
      </c>
      <c r="S13">
        <v>23.96</v>
      </c>
      <c r="T13">
        <v>8</v>
      </c>
      <c r="U13">
        <v>6</v>
      </c>
      <c r="V13">
        <v>2</v>
      </c>
      <c r="W13">
        <v>2</v>
      </c>
    </row>
    <row r="14" spans="1:25" x14ac:dyDescent="0.55000000000000004">
      <c r="A14" t="s">
        <v>156</v>
      </c>
      <c r="B14">
        <v>13</v>
      </c>
      <c r="C14">
        <v>2</v>
      </c>
      <c r="D14">
        <v>13</v>
      </c>
      <c r="E14" t="s">
        <v>12</v>
      </c>
      <c r="F14" t="s">
        <v>155</v>
      </c>
      <c r="G14" s="2">
        <v>45953</v>
      </c>
      <c r="H14" s="8">
        <v>0.45833333333333298</v>
      </c>
      <c r="I14">
        <v>0</v>
      </c>
      <c r="J14">
        <v>10</v>
      </c>
      <c r="K14">
        <v>0.52549999999999997</v>
      </c>
      <c r="L14">
        <f t="shared" si="0"/>
        <v>10</v>
      </c>
      <c r="M14">
        <v>10</v>
      </c>
      <c r="N14">
        <f t="shared" si="1"/>
        <v>1</v>
      </c>
      <c r="O14">
        <v>33</v>
      </c>
      <c r="Q14" t="s">
        <v>1</v>
      </c>
      <c r="R14" t="s">
        <v>1</v>
      </c>
      <c r="S14">
        <v>24.83</v>
      </c>
      <c r="T14">
        <v>10</v>
      </c>
      <c r="U14">
        <v>8</v>
      </c>
      <c r="V14">
        <v>2</v>
      </c>
      <c r="W14">
        <v>2</v>
      </c>
    </row>
    <row r="15" spans="1:25" x14ac:dyDescent="0.55000000000000004">
      <c r="A15" t="s">
        <v>156</v>
      </c>
      <c r="B15">
        <v>14</v>
      </c>
      <c r="C15">
        <v>2</v>
      </c>
      <c r="D15">
        <v>14</v>
      </c>
      <c r="E15" t="s">
        <v>6</v>
      </c>
      <c r="F15" t="s">
        <v>155</v>
      </c>
      <c r="G15" s="2">
        <v>45953</v>
      </c>
      <c r="H15" s="8">
        <v>0.45833333333333298</v>
      </c>
      <c r="I15">
        <v>0</v>
      </c>
      <c r="J15">
        <v>10</v>
      </c>
      <c r="K15">
        <v>0.49430000000000002</v>
      </c>
      <c r="L15">
        <f t="shared" si="0"/>
        <v>10</v>
      </c>
      <c r="M15">
        <v>10</v>
      </c>
      <c r="N15">
        <f t="shared" si="1"/>
        <v>1</v>
      </c>
      <c r="O15">
        <v>35</v>
      </c>
      <c r="Q15" t="s">
        <v>1</v>
      </c>
      <c r="R15" t="s">
        <v>1</v>
      </c>
      <c r="S15">
        <v>28.52</v>
      </c>
      <c r="T15">
        <v>14</v>
      </c>
      <c r="U15">
        <v>5</v>
      </c>
      <c r="V15">
        <v>2</v>
      </c>
      <c r="W15">
        <v>2</v>
      </c>
    </row>
    <row r="16" spans="1:25" x14ac:dyDescent="0.55000000000000004">
      <c r="A16" t="s">
        <v>156</v>
      </c>
      <c r="B16">
        <v>15</v>
      </c>
      <c r="C16">
        <v>2</v>
      </c>
      <c r="D16">
        <v>15</v>
      </c>
      <c r="E16" t="s">
        <v>13</v>
      </c>
      <c r="F16" t="s">
        <v>155</v>
      </c>
      <c r="G16" s="2">
        <v>45953</v>
      </c>
      <c r="H16" s="8">
        <v>0.45833333333333298</v>
      </c>
      <c r="I16">
        <v>0</v>
      </c>
      <c r="J16">
        <v>10</v>
      </c>
      <c r="K16">
        <v>0.52490000000000003</v>
      </c>
      <c r="L16">
        <f t="shared" si="0"/>
        <v>10</v>
      </c>
      <c r="M16">
        <v>10</v>
      </c>
      <c r="N16">
        <f t="shared" si="1"/>
        <v>1</v>
      </c>
      <c r="O16">
        <v>37</v>
      </c>
      <c r="Q16" t="s">
        <v>1</v>
      </c>
      <c r="R16" t="s">
        <v>1</v>
      </c>
      <c r="S16">
        <v>26.6</v>
      </c>
      <c r="T16">
        <v>13</v>
      </c>
      <c r="U16">
        <v>8</v>
      </c>
      <c r="V16">
        <v>2</v>
      </c>
      <c r="W16">
        <v>2</v>
      </c>
    </row>
    <row r="17" spans="1:23" x14ac:dyDescent="0.55000000000000004">
      <c r="A17" t="s">
        <v>156</v>
      </c>
      <c r="B17">
        <v>16</v>
      </c>
      <c r="C17">
        <v>2</v>
      </c>
      <c r="D17">
        <v>16</v>
      </c>
      <c r="E17" t="s">
        <v>12</v>
      </c>
      <c r="F17" t="s">
        <v>155</v>
      </c>
      <c r="G17" s="2">
        <v>45953</v>
      </c>
      <c r="H17" s="8">
        <v>0.45833333333333298</v>
      </c>
      <c r="I17">
        <v>0</v>
      </c>
      <c r="J17">
        <v>10</v>
      </c>
      <c r="K17">
        <v>0.52170000000000005</v>
      </c>
      <c r="L17">
        <f t="shared" si="0"/>
        <v>10</v>
      </c>
      <c r="M17">
        <v>9</v>
      </c>
      <c r="N17">
        <f t="shared" si="1"/>
        <v>0.9</v>
      </c>
      <c r="O17">
        <v>39</v>
      </c>
      <c r="Q17" t="s">
        <v>1</v>
      </c>
      <c r="R17" t="s">
        <v>1</v>
      </c>
      <c r="S17">
        <v>24.99</v>
      </c>
      <c r="T17">
        <v>10</v>
      </c>
      <c r="U17">
        <v>7</v>
      </c>
      <c r="V17">
        <v>2</v>
      </c>
      <c r="W17">
        <v>2</v>
      </c>
    </row>
    <row r="18" spans="1:23" x14ac:dyDescent="0.55000000000000004">
      <c r="A18" t="s">
        <v>156</v>
      </c>
      <c r="B18">
        <v>17</v>
      </c>
      <c r="C18">
        <v>3</v>
      </c>
      <c r="D18">
        <v>1</v>
      </c>
      <c r="E18" t="s">
        <v>6</v>
      </c>
      <c r="F18" t="s">
        <v>155</v>
      </c>
      <c r="G18" s="2">
        <v>45958</v>
      </c>
      <c r="H18" s="8">
        <v>0.41666666666666669</v>
      </c>
      <c r="I18">
        <v>3</v>
      </c>
      <c r="J18">
        <v>10</v>
      </c>
      <c r="L18">
        <f t="shared" si="0"/>
        <v>10</v>
      </c>
      <c r="M18">
        <v>10</v>
      </c>
      <c r="N18">
        <f t="shared" ref="N18:N49" si="2">M18/L18</f>
        <v>1</v>
      </c>
      <c r="O18">
        <v>40</v>
      </c>
      <c r="P18">
        <v>30</v>
      </c>
      <c r="Q18" t="s">
        <v>1</v>
      </c>
      <c r="R18" t="s">
        <v>1</v>
      </c>
      <c r="S18">
        <v>23.44</v>
      </c>
      <c r="T18">
        <v>10</v>
      </c>
      <c r="U18">
        <v>8</v>
      </c>
      <c r="V18">
        <v>2</v>
      </c>
      <c r="W18">
        <v>2</v>
      </c>
    </row>
    <row r="19" spans="1:23" x14ac:dyDescent="0.55000000000000004">
      <c r="A19" t="s">
        <v>156</v>
      </c>
      <c r="B19">
        <v>18</v>
      </c>
      <c r="C19">
        <v>3</v>
      </c>
      <c r="D19">
        <v>2</v>
      </c>
      <c r="E19" t="s">
        <v>13</v>
      </c>
      <c r="F19" t="s">
        <v>155</v>
      </c>
      <c r="G19" s="2">
        <v>45958</v>
      </c>
      <c r="H19" s="8">
        <v>0.41666666666666669</v>
      </c>
      <c r="I19">
        <v>3</v>
      </c>
      <c r="J19">
        <v>10</v>
      </c>
      <c r="L19">
        <f t="shared" si="0"/>
        <v>10</v>
      </c>
      <c r="M19">
        <v>3.5</v>
      </c>
      <c r="N19">
        <f t="shared" si="2"/>
        <v>0.35</v>
      </c>
      <c r="O19">
        <v>41</v>
      </c>
      <c r="Q19" t="s">
        <v>1</v>
      </c>
      <c r="R19" t="s">
        <v>16</v>
      </c>
      <c r="S19">
        <v>39.75</v>
      </c>
      <c r="T19">
        <v>42</v>
      </c>
      <c r="U19">
        <v>8</v>
      </c>
      <c r="V19">
        <v>2</v>
      </c>
      <c r="W19">
        <v>2</v>
      </c>
    </row>
    <row r="20" spans="1:23" x14ac:dyDescent="0.55000000000000004">
      <c r="A20" t="s">
        <v>156</v>
      </c>
      <c r="B20">
        <v>19</v>
      </c>
      <c r="C20">
        <v>3</v>
      </c>
      <c r="D20">
        <v>3</v>
      </c>
      <c r="E20" t="s">
        <v>12</v>
      </c>
      <c r="F20" t="s">
        <v>155</v>
      </c>
      <c r="G20" s="2">
        <v>45958</v>
      </c>
      <c r="H20" s="8">
        <v>0.41666666666666669</v>
      </c>
      <c r="I20">
        <v>3</v>
      </c>
      <c r="J20">
        <v>10</v>
      </c>
      <c r="L20">
        <f t="shared" si="0"/>
        <v>10</v>
      </c>
      <c r="M20">
        <v>4.5</v>
      </c>
      <c r="N20">
        <f t="shared" si="2"/>
        <v>0.45</v>
      </c>
      <c r="O20">
        <v>42</v>
      </c>
      <c r="P20">
        <v>97</v>
      </c>
      <c r="Q20" t="s">
        <v>1</v>
      </c>
      <c r="R20" t="s">
        <v>1</v>
      </c>
      <c r="S20">
        <v>29.75</v>
      </c>
      <c r="T20">
        <v>16</v>
      </c>
      <c r="U20">
        <v>6</v>
      </c>
      <c r="V20">
        <v>1</v>
      </c>
      <c r="W20">
        <v>2</v>
      </c>
    </row>
    <row r="21" spans="1:23" x14ac:dyDescent="0.55000000000000004">
      <c r="A21" t="s">
        <v>156</v>
      </c>
      <c r="B21">
        <v>20</v>
      </c>
      <c r="C21">
        <v>3</v>
      </c>
      <c r="D21">
        <v>4</v>
      </c>
      <c r="E21" t="s">
        <v>6</v>
      </c>
      <c r="F21" t="s">
        <v>155</v>
      </c>
      <c r="G21" s="2">
        <v>45958</v>
      </c>
      <c r="H21" s="8">
        <v>0.41666666666666669</v>
      </c>
      <c r="I21">
        <v>3</v>
      </c>
      <c r="J21">
        <v>10</v>
      </c>
      <c r="L21">
        <f t="shared" si="0"/>
        <v>10</v>
      </c>
      <c r="M21">
        <v>7</v>
      </c>
      <c r="N21">
        <f t="shared" si="2"/>
        <v>0.7</v>
      </c>
      <c r="O21">
        <v>43</v>
      </c>
      <c r="P21">
        <v>77</v>
      </c>
      <c r="Q21" t="s">
        <v>1</v>
      </c>
      <c r="R21" t="s">
        <v>1</v>
      </c>
      <c r="S21">
        <v>26.6</v>
      </c>
      <c r="T21">
        <v>13</v>
      </c>
      <c r="U21">
        <v>7</v>
      </c>
      <c r="V21">
        <v>2</v>
      </c>
      <c r="W21">
        <v>0</v>
      </c>
    </row>
    <row r="22" spans="1:23" x14ac:dyDescent="0.55000000000000004">
      <c r="A22" t="s">
        <v>156</v>
      </c>
      <c r="B22">
        <v>21</v>
      </c>
      <c r="C22">
        <v>3</v>
      </c>
      <c r="D22">
        <v>5</v>
      </c>
      <c r="E22" t="s">
        <v>13</v>
      </c>
      <c r="F22" t="s">
        <v>155</v>
      </c>
      <c r="G22" s="2">
        <v>45958</v>
      </c>
      <c r="H22" s="8">
        <v>0.41666666666666669</v>
      </c>
      <c r="I22">
        <v>3</v>
      </c>
      <c r="J22">
        <v>10</v>
      </c>
      <c r="L22">
        <f t="shared" si="0"/>
        <v>10</v>
      </c>
      <c r="M22">
        <v>5</v>
      </c>
      <c r="N22">
        <f t="shared" si="2"/>
        <v>0.5</v>
      </c>
      <c r="O22">
        <v>44</v>
      </c>
      <c r="Q22" t="s">
        <v>1</v>
      </c>
      <c r="R22" t="s">
        <v>16</v>
      </c>
      <c r="S22">
        <v>35.270000000000003</v>
      </c>
      <c r="T22">
        <v>30</v>
      </c>
      <c r="U22">
        <v>8</v>
      </c>
      <c r="V22">
        <v>2</v>
      </c>
      <c r="W22">
        <v>2</v>
      </c>
    </row>
    <row r="23" spans="1:23" x14ac:dyDescent="0.55000000000000004">
      <c r="A23" t="s">
        <v>156</v>
      </c>
      <c r="B23">
        <v>22</v>
      </c>
      <c r="C23">
        <v>3</v>
      </c>
      <c r="D23">
        <v>6</v>
      </c>
      <c r="E23" t="s">
        <v>12</v>
      </c>
      <c r="F23" t="s">
        <v>155</v>
      </c>
      <c r="G23" s="2">
        <v>45958</v>
      </c>
      <c r="H23" s="8">
        <v>0.41666666666666669</v>
      </c>
      <c r="I23">
        <v>3</v>
      </c>
      <c r="J23">
        <v>10</v>
      </c>
      <c r="L23">
        <f t="shared" si="0"/>
        <v>10</v>
      </c>
      <c r="M23">
        <v>8</v>
      </c>
      <c r="N23">
        <f t="shared" si="2"/>
        <v>0.8</v>
      </c>
      <c r="O23">
        <v>45</v>
      </c>
      <c r="Q23" t="s">
        <v>1</v>
      </c>
      <c r="R23" t="s">
        <v>1</v>
      </c>
      <c r="S23">
        <v>25</v>
      </c>
      <c r="T23">
        <v>10</v>
      </c>
      <c r="U23">
        <v>8</v>
      </c>
      <c r="V23">
        <v>1</v>
      </c>
      <c r="W23">
        <v>2</v>
      </c>
    </row>
    <row r="24" spans="1:23" x14ac:dyDescent="0.55000000000000004">
      <c r="A24" t="s">
        <v>156</v>
      </c>
      <c r="B24">
        <v>23</v>
      </c>
      <c r="C24">
        <v>3</v>
      </c>
      <c r="D24">
        <v>7</v>
      </c>
      <c r="E24" t="s">
        <v>6</v>
      </c>
      <c r="F24" t="s">
        <v>155</v>
      </c>
      <c r="G24" s="2">
        <v>45958</v>
      </c>
      <c r="H24" s="8">
        <v>0.41666666666666669</v>
      </c>
      <c r="I24">
        <v>3</v>
      </c>
      <c r="J24">
        <v>10</v>
      </c>
      <c r="L24">
        <f t="shared" si="0"/>
        <v>10</v>
      </c>
      <c r="M24">
        <v>8</v>
      </c>
      <c r="N24">
        <f t="shared" si="2"/>
        <v>0.8</v>
      </c>
      <c r="O24">
        <v>46</v>
      </c>
      <c r="Q24" t="s">
        <v>1</v>
      </c>
      <c r="R24" t="s">
        <v>1</v>
      </c>
      <c r="S24">
        <v>28.41</v>
      </c>
      <c r="T24">
        <v>17</v>
      </c>
      <c r="U24">
        <v>8</v>
      </c>
      <c r="V24">
        <v>2</v>
      </c>
      <c r="W24">
        <v>2</v>
      </c>
    </row>
    <row r="25" spans="1:23" x14ac:dyDescent="0.55000000000000004">
      <c r="A25" t="s">
        <v>156</v>
      </c>
      <c r="B25">
        <v>24</v>
      </c>
      <c r="C25">
        <v>3</v>
      </c>
      <c r="D25">
        <v>8</v>
      </c>
      <c r="E25" t="s">
        <v>13</v>
      </c>
      <c r="F25" t="s">
        <v>155</v>
      </c>
      <c r="G25" s="2">
        <v>45958</v>
      </c>
      <c r="H25" s="8">
        <v>0.41666666666666669</v>
      </c>
      <c r="I25">
        <v>3</v>
      </c>
      <c r="J25">
        <v>10</v>
      </c>
      <c r="L25">
        <f t="shared" si="0"/>
        <v>10</v>
      </c>
      <c r="M25">
        <v>7</v>
      </c>
      <c r="N25">
        <f t="shared" si="2"/>
        <v>0.7</v>
      </c>
      <c r="O25">
        <v>47</v>
      </c>
      <c r="Q25" t="s">
        <v>1</v>
      </c>
      <c r="R25" t="s">
        <v>1</v>
      </c>
      <c r="S25">
        <v>25.04</v>
      </c>
      <c r="T25">
        <v>11</v>
      </c>
      <c r="U25">
        <v>7</v>
      </c>
      <c r="V25">
        <v>2</v>
      </c>
      <c r="W25">
        <v>2</v>
      </c>
    </row>
    <row r="26" spans="1:23" x14ac:dyDescent="0.55000000000000004">
      <c r="A26" t="s">
        <v>156</v>
      </c>
      <c r="B26">
        <v>25</v>
      </c>
      <c r="C26">
        <v>3</v>
      </c>
      <c r="D26">
        <v>9</v>
      </c>
      <c r="E26" t="s">
        <v>12</v>
      </c>
      <c r="F26" t="s">
        <v>155</v>
      </c>
      <c r="G26" s="2">
        <v>45958</v>
      </c>
      <c r="H26" s="8">
        <v>0.41666666666666669</v>
      </c>
      <c r="I26">
        <v>3</v>
      </c>
      <c r="J26">
        <v>10</v>
      </c>
      <c r="L26">
        <f t="shared" si="0"/>
        <v>10</v>
      </c>
      <c r="M26">
        <v>9</v>
      </c>
      <c r="N26">
        <f t="shared" si="2"/>
        <v>0.9</v>
      </c>
      <c r="O26">
        <v>48</v>
      </c>
      <c r="P26">
        <v>99</v>
      </c>
      <c r="Q26" t="s">
        <v>1</v>
      </c>
      <c r="R26" t="s">
        <v>1</v>
      </c>
      <c r="S26">
        <v>25.24</v>
      </c>
      <c r="T26">
        <v>10</v>
      </c>
      <c r="U26">
        <v>4</v>
      </c>
      <c r="V26">
        <v>0</v>
      </c>
      <c r="W26">
        <v>2</v>
      </c>
    </row>
    <row r="27" spans="1:23" x14ac:dyDescent="0.55000000000000004">
      <c r="A27" t="s">
        <v>156</v>
      </c>
      <c r="B27">
        <v>26</v>
      </c>
      <c r="C27">
        <v>3</v>
      </c>
      <c r="D27">
        <v>10</v>
      </c>
      <c r="E27" t="s">
        <v>6</v>
      </c>
      <c r="F27" t="s">
        <v>155</v>
      </c>
      <c r="G27" s="2">
        <v>45958</v>
      </c>
      <c r="H27" s="8">
        <v>0.41666666666666669</v>
      </c>
      <c r="I27">
        <v>3</v>
      </c>
      <c r="J27">
        <v>10</v>
      </c>
      <c r="L27">
        <f t="shared" si="0"/>
        <v>10</v>
      </c>
      <c r="M27">
        <v>9</v>
      </c>
      <c r="N27">
        <f t="shared" si="2"/>
        <v>0.9</v>
      </c>
      <c r="O27">
        <v>49</v>
      </c>
      <c r="Q27" t="s">
        <v>1</v>
      </c>
      <c r="R27" t="s">
        <v>0</v>
      </c>
      <c r="S27">
        <v>21.09</v>
      </c>
      <c r="T27">
        <v>8</v>
      </c>
      <c r="U27">
        <v>7</v>
      </c>
      <c r="V27">
        <v>2</v>
      </c>
      <c r="W27">
        <v>2</v>
      </c>
    </row>
    <row r="28" spans="1:23" x14ac:dyDescent="0.55000000000000004">
      <c r="A28" t="s">
        <v>156</v>
      </c>
      <c r="B28">
        <v>27</v>
      </c>
      <c r="C28">
        <v>3</v>
      </c>
      <c r="D28">
        <v>11</v>
      </c>
      <c r="E28" t="s">
        <v>13</v>
      </c>
      <c r="F28" t="s">
        <v>155</v>
      </c>
      <c r="G28" s="2">
        <v>45958</v>
      </c>
      <c r="H28" s="8">
        <v>0.41666666666666669</v>
      </c>
      <c r="I28">
        <v>3</v>
      </c>
      <c r="J28">
        <v>10</v>
      </c>
      <c r="L28">
        <f t="shared" si="0"/>
        <v>10</v>
      </c>
      <c r="M28">
        <v>10</v>
      </c>
      <c r="N28">
        <f t="shared" si="2"/>
        <v>1</v>
      </c>
      <c r="O28">
        <v>50</v>
      </c>
      <c r="Q28" t="s">
        <v>1</v>
      </c>
      <c r="R28" t="s">
        <v>16</v>
      </c>
      <c r="S28">
        <v>32.94</v>
      </c>
      <c r="T28">
        <v>24</v>
      </c>
      <c r="U28">
        <v>7</v>
      </c>
      <c r="V28">
        <v>2</v>
      </c>
      <c r="W28">
        <v>2</v>
      </c>
    </row>
    <row r="29" spans="1:23" x14ac:dyDescent="0.55000000000000004">
      <c r="A29" t="s">
        <v>156</v>
      </c>
      <c r="B29">
        <v>28</v>
      </c>
      <c r="C29">
        <v>3</v>
      </c>
      <c r="D29">
        <v>12</v>
      </c>
      <c r="E29" t="s">
        <v>12</v>
      </c>
      <c r="F29" t="s">
        <v>155</v>
      </c>
      <c r="G29" s="2">
        <v>45958</v>
      </c>
      <c r="H29" s="8">
        <v>0.41666666666666669</v>
      </c>
      <c r="I29">
        <v>3</v>
      </c>
      <c r="J29">
        <v>10</v>
      </c>
      <c r="L29">
        <f t="shared" si="0"/>
        <v>10</v>
      </c>
      <c r="M29">
        <v>5</v>
      </c>
      <c r="N29">
        <f t="shared" si="2"/>
        <v>0.5</v>
      </c>
      <c r="O29">
        <v>51</v>
      </c>
      <c r="Q29" t="s">
        <v>1</v>
      </c>
      <c r="R29" t="s">
        <v>1</v>
      </c>
      <c r="S29">
        <v>26.97</v>
      </c>
      <c r="T29">
        <v>13</v>
      </c>
      <c r="U29">
        <v>8</v>
      </c>
      <c r="V29">
        <v>2</v>
      </c>
      <c r="W29">
        <v>2</v>
      </c>
    </row>
    <row r="30" spans="1:23" x14ac:dyDescent="0.55000000000000004">
      <c r="A30" t="s">
        <v>156</v>
      </c>
      <c r="B30">
        <v>29</v>
      </c>
      <c r="C30">
        <v>3</v>
      </c>
      <c r="D30">
        <v>13</v>
      </c>
      <c r="E30" t="s">
        <v>6</v>
      </c>
      <c r="F30" t="s">
        <v>155</v>
      </c>
      <c r="G30" s="2">
        <v>45958</v>
      </c>
      <c r="H30" s="8">
        <v>0.41666666666666669</v>
      </c>
      <c r="I30">
        <v>3</v>
      </c>
      <c r="J30">
        <v>10</v>
      </c>
      <c r="L30">
        <f t="shared" si="0"/>
        <v>10</v>
      </c>
      <c r="M30">
        <v>7</v>
      </c>
      <c r="N30">
        <f t="shared" si="2"/>
        <v>0.7</v>
      </c>
      <c r="O30">
        <v>52</v>
      </c>
      <c r="P30">
        <v>26</v>
      </c>
      <c r="Q30" t="s">
        <v>1</v>
      </c>
      <c r="R30" t="s">
        <v>16</v>
      </c>
      <c r="S30">
        <v>30.1</v>
      </c>
      <c r="T30">
        <v>19</v>
      </c>
      <c r="U30">
        <v>8</v>
      </c>
      <c r="V30">
        <v>2</v>
      </c>
      <c r="W30">
        <v>2</v>
      </c>
    </row>
    <row r="31" spans="1:23" x14ac:dyDescent="0.55000000000000004">
      <c r="A31" t="s">
        <v>156</v>
      </c>
      <c r="B31">
        <v>30</v>
      </c>
      <c r="C31">
        <v>3</v>
      </c>
      <c r="D31">
        <v>14</v>
      </c>
      <c r="E31" t="s">
        <v>13</v>
      </c>
      <c r="F31" t="s">
        <v>155</v>
      </c>
      <c r="G31" s="2">
        <v>45958</v>
      </c>
      <c r="H31" s="8">
        <v>0.41666666666666669</v>
      </c>
      <c r="I31">
        <v>3</v>
      </c>
      <c r="J31">
        <v>10</v>
      </c>
      <c r="L31">
        <f t="shared" si="0"/>
        <v>10</v>
      </c>
      <c r="M31">
        <v>9</v>
      </c>
      <c r="N31">
        <f t="shared" si="2"/>
        <v>0.9</v>
      </c>
      <c r="O31">
        <v>53</v>
      </c>
      <c r="P31">
        <v>102</v>
      </c>
      <c r="Q31" t="s">
        <v>1</v>
      </c>
      <c r="R31" t="s">
        <v>1</v>
      </c>
      <c r="S31">
        <v>26.62</v>
      </c>
      <c r="T31">
        <v>13</v>
      </c>
      <c r="U31">
        <v>7</v>
      </c>
      <c r="V31">
        <v>2</v>
      </c>
      <c r="W31">
        <v>1</v>
      </c>
    </row>
    <row r="32" spans="1:23" x14ac:dyDescent="0.55000000000000004">
      <c r="A32" t="s">
        <v>156</v>
      </c>
      <c r="B32">
        <v>31</v>
      </c>
      <c r="C32">
        <v>3</v>
      </c>
      <c r="D32">
        <v>15</v>
      </c>
      <c r="E32" t="s">
        <v>12</v>
      </c>
      <c r="F32" t="s">
        <v>155</v>
      </c>
      <c r="G32" s="2">
        <v>45958</v>
      </c>
      <c r="H32" s="8">
        <v>0.41666666666666669</v>
      </c>
      <c r="I32">
        <v>3</v>
      </c>
      <c r="J32">
        <v>10</v>
      </c>
      <c r="L32">
        <f t="shared" si="0"/>
        <v>10</v>
      </c>
      <c r="M32">
        <v>5</v>
      </c>
      <c r="N32">
        <f t="shared" si="2"/>
        <v>0.5</v>
      </c>
      <c r="O32">
        <v>54</v>
      </c>
      <c r="Q32" t="s">
        <v>1</v>
      </c>
      <c r="R32" t="s">
        <v>16</v>
      </c>
      <c r="S32">
        <v>38.04</v>
      </c>
      <c r="T32">
        <v>34</v>
      </c>
      <c r="U32">
        <v>7</v>
      </c>
      <c r="V32">
        <v>2</v>
      </c>
      <c r="W32">
        <v>2</v>
      </c>
    </row>
    <row r="33" spans="1:25" x14ac:dyDescent="0.55000000000000004">
      <c r="A33" t="s">
        <v>156</v>
      </c>
      <c r="B33">
        <v>32</v>
      </c>
      <c r="C33">
        <v>3</v>
      </c>
      <c r="D33">
        <v>16</v>
      </c>
      <c r="E33" t="s">
        <v>6</v>
      </c>
      <c r="F33" t="s">
        <v>155</v>
      </c>
      <c r="G33" s="2">
        <v>45958</v>
      </c>
      <c r="H33" s="8">
        <v>0.41666666666666669</v>
      </c>
      <c r="I33">
        <v>3</v>
      </c>
      <c r="J33">
        <v>10</v>
      </c>
      <c r="L33">
        <f t="shared" si="0"/>
        <v>10</v>
      </c>
      <c r="M33">
        <v>10</v>
      </c>
      <c r="N33">
        <f t="shared" si="2"/>
        <v>1</v>
      </c>
      <c r="O33">
        <v>55</v>
      </c>
      <c r="P33">
        <v>87</v>
      </c>
      <c r="Q33" t="s">
        <v>1</v>
      </c>
      <c r="R33" t="s">
        <v>0</v>
      </c>
      <c r="S33">
        <v>21.59</v>
      </c>
      <c r="T33">
        <v>8</v>
      </c>
      <c r="U33">
        <v>5</v>
      </c>
      <c r="V33">
        <v>2</v>
      </c>
      <c r="W33">
        <v>2</v>
      </c>
      <c r="X33" t="s">
        <v>159</v>
      </c>
      <c r="Y33" t="s">
        <v>158</v>
      </c>
    </row>
    <row r="34" spans="1:25" x14ac:dyDescent="0.55000000000000004">
      <c r="A34" t="s">
        <v>156</v>
      </c>
      <c r="B34">
        <v>33</v>
      </c>
      <c r="C34">
        <v>4</v>
      </c>
      <c r="D34">
        <v>1</v>
      </c>
      <c r="E34" t="s">
        <v>13</v>
      </c>
      <c r="F34" t="s">
        <v>155</v>
      </c>
      <c r="G34" s="2">
        <v>45959</v>
      </c>
      <c r="H34" s="8">
        <v>0.47916666666666669</v>
      </c>
      <c r="I34">
        <v>4</v>
      </c>
      <c r="J34">
        <v>10</v>
      </c>
      <c r="L34">
        <f t="shared" si="0"/>
        <v>10</v>
      </c>
      <c r="M34">
        <v>9.5</v>
      </c>
      <c r="N34">
        <f t="shared" si="2"/>
        <v>0.95</v>
      </c>
      <c r="O34">
        <v>56</v>
      </c>
      <c r="P34">
        <v>99</v>
      </c>
      <c r="Q34" t="s">
        <v>1</v>
      </c>
      <c r="R34" t="s">
        <v>1</v>
      </c>
      <c r="S34">
        <v>27.07</v>
      </c>
      <c r="T34">
        <v>12</v>
      </c>
      <c r="U34">
        <v>8</v>
      </c>
      <c r="V34">
        <v>1</v>
      </c>
      <c r="W34">
        <v>2</v>
      </c>
    </row>
    <row r="35" spans="1:25" x14ac:dyDescent="0.55000000000000004">
      <c r="A35" t="s">
        <v>156</v>
      </c>
      <c r="B35">
        <v>34</v>
      </c>
      <c r="C35">
        <v>4</v>
      </c>
      <c r="D35">
        <v>2</v>
      </c>
      <c r="E35" t="s">
        <v>12</v>
      </c>
      <c r="F35" t="s">
        <v>155</v>
      </c>
      <c r="G35" s="2">
        <v>45959</v>
      </c>
      <c r="H35" s="8">
        <v>0.47916666666666669</v>
      </c>
      <c r="I35">
        <v>4</v>
      </c>
      <c r="J35">
        <v>10</v>
      </c>
      <c r="L35">
        <f t="shared" si="0"/>
        <v>10</v>
      </c>
      <c r="M35">
        <v>6.5</v>
      </c>
      <c r="N35">
        <f t="shared" si="2"/>
        <v>0.65</v>
      </c>
      <c r="O35">
        <v>57</v>
      </c>
      <c r="P35">
        <v>41</v>
      </c>
      <c r="Q35" t="s">
        <v>1</v>
      </c>
      <c r="R35" t="s">
        <v>16</v>
      </c>
      <c r="S35">
        <v>38.49</v>
      </c>
      <c r="T35">
        <v>40</v>
      </c>
      <c r="U35">
        <v>8</v>
      </c>
      <c r="V35">
        <v>2</v>
      </c>
      <c r="W35">
        <v>2</v>
      </c>
    </row>
    <row r="36" spans="1:25" x14ac:dyDescent="0.55000000000000004">
      <c r="A36" t="s">
        <v>156</v>
      </c>
      <c r="B36">
        <v>35</v>
      </c>
      <c r="C36">
        <v>4</v>
      </c>
      <c r="D36">
        <v>3</v>
      </c>
      <c r="E36" t="s">
        <v>6</v>
      </c>
      <c r="F36" t="s">
        <v>155</v>
      </c>
      <c r="G36" s="2">
        <v>45959</v>
      </c>
      <c r="H36" s="8">
        <v>0.47916666666666702</v>
      </c>
      <c r="I36">
        <v>4</v>
      </c>
      <c r="J36">
        <v>10</v>
      </c>
      <c r="L36">
        <f t="shared" si="0"/>
        <v>10</v>
      </c>
      <c r="M36">
        <v>8.5</v>
      </c>
      <c r="N36">
        <f t="shared" si="2"/>
        <v>0.85</v>
      </c>
      <c r="O36">
        <v>58</v>
      </c>
      <c r="P36">
        <v>70</v>
      </c>
      <c r="Q36" t="s">
        <v>1</v>
      </c>
      <c r="R36" t="s">
        <v>1</v>
      </c>
      <c r="S36">
        <v>25.21</v>
      </c>
      <c r="T36">
        <v>10</v>
      </c>
      <c r="U36">
        <v>6</v>
      </c>
      <c r="V36">
        <v>1</v>
      </c>
      <c r="W36">
        <v>1</v>
      </c>
    </row>
    <row r="37" spans="1:25" x14ac:dyDescent="0.55000000000000004">
      <c r="A37" t="s">
        <v>156</v>
      </c>
      <c r="B37">
        <v>36</v>
      </c>
      <c r="C37">
        <v>4</v>
      </c>
      <c r="D37">
        <v>4</v>
      </c>
      <c r="E37" t="s">
        <v>13</v>
      </c>
      <c r="F37" t="s">
        <v>155</v>
      </c>
      <c r="G37" s="2">
        <v>45959</v>
      </c>
      <c r="H37" s="8">
        <v>0.47916666666666702</v>
      </c>
      <c r="I37">
        <v>4</v>
      </c>
      <c r="J37">
        <v>10</v>
      </c>
      <c r="L37">
        <f t="shared" si="0"/>
        <v>10</v>
      </c>
      <c r="M37">
        <v>8.5</v>
      </c>
      <c r="N37">
        <f t="shared" si="2"/>
        <v>0.85</v>
      </c>
      <c r="O37">
        <v>59</v>
      </c>
      <c r="P37">
        <v>80</v>
      </c>
      <c r="Q37" t="s">
        <v>1</v>
      </c>
      <c r="R37" t="s">
        <v>1</v>
      </c>
      <c r="S37">
        <v>25.84</v>
      </c>
      <c r="T37">
        <v>14</v>
      </c>
      <c r="U37">
        <v>8</v>
      </c>
      <c r="V37">
        <v>2</v>
      </c>
      <c r="W37">
        <v>2</v>
      </c>
    </row>
    <row r="38" spans="1:25" x14ac:dyDescent="0.55000000000000004">
      <c r="A38" t="s">
        <v>156</v>
      </c>
      <c r="B38">
        <v>37</v>
      </c>
      <c r="C38">
        <v>4</v>
      </c>
      <c r="D38">
        <v>5</v>
      </c>
      <c r="E38" t="s">
        <v>12</v>
      </c>
      <c r="F38" t="s">
        <v>155</v>
      </c>
      <c r="G38" s="2">
        <v>45959</v>
      </c>
      <c r="H38" s="8">
        <v>0.47916666666666702</v>
      </c>
      <c r="I38">
        <v>4</v>
      </c>
      <c r="J38">
        <v>10</v>
      </c>
      <c r="L38">
        <f t="shared" si="0"/>
        <v>10</v>
      </c>
      <c r="M38">
        <v>9</v>
      </c>
      <c r="N38">
        <f t="shared" si="2"/>
        <v>0.9</v>
      </c>
      <c r="O38">
        <v>60</v>
      </c>
      <c r="Q38" t="s">
        <v>1</v>
      </c>
      <c r="R38" t="s">
        <v>1</v>
      </c>
      <c r="S38">
        <v>23.41</v>
      </c>
      <c r="T38">
        <v>9</v>
      </c>
      <c r="U38">
        <v>8</v>
      </c>
      <c r="V38">
        <v>1</v>
      </c>
      <c r="W38">
        <v>2</v>
      </c>
    </row>
    <row r="39" spans="1:25" x14ac:dyDescent="0.55000000000000004">
      <c r="A39" t="s">
        <v>156</v>
      </c>
      <c r="B39">
        <v>38</v>
      </c>
      <c r="C39">
        <v>4</v>
      </c>
      <c r="D39">
        <v>6</v>
      </c>
      <c r="E39" t="s">
        <v>6</v>
      </c>
      <c r="F39" t="s">
        <v>155</v>
      </c>
      <c r="G39" s="2">
        <v>45959</v>
      </c>
      <c r="H39" s="8">
        <v>0.47916666666666702</v>
      </c>
      <c r="I39">
        <v>4</v>
      </c>
      <c r="J39">
        <v>10</v>
      </c>
      <c r="L39">
        <f t="shared" si="0"/>
        <v>10</v>
      </c>
      <c r="M39">
        <v>9</v>
      </c>
      <c r="N39">
        <f t="shared" si="2"/>
        <v>0.9</v>
      </c>
      <c r="O39">
        <v>61</v>
      </c>
      <c r="P39">
        <v>81</v>
      </c>
      <c r="Q39" t="s">
        <v>1</v>
      </c>
      <c r="R39" t="s">
        <v>16</v>
      </c>
      <c r="S39">
        <v>30.38</v>
      </c>
      <c r="T39">
        <v>22</v>
      </c>
      <c r="U39">
        <v>8</v>
      </c>
      <c r="V39">
        <v>2</v>
      </c>
      <c r="W39">
        <v>2</v>
      </c>
    </row>
    <row r="40" spans="1:25" x14ac:dyDescent="0.55000000000000004">
      <c r="A40" t="s">
        <v>156</v>
      </c>
      <c r="B40">
        <v>39</v>
      </c>
      <c r="C40">
        <v>4</v>
      </c>
      <c r="D40">
        <v>7</v>
      </c>
      <c r="E40" t="s">
        <v>13</v>
      </c>
      <c r="F40" t="s">
        <v>155</v>
      </c>
      <c r="G40" s="2">
        <v>45959</v>
      </c>
      <c r="H40" s="8">
        <v>0.47916666666666702</v>
      </c>
      <c r="I40">
        <v>4</v>
      </c>
      <c r="J40">
        <v>10</v>
      </c>
      <c r="L40">
        <f t="shared" si="0"/>
        <v>10</v>
      </c>
      <c r="M40">
        <v>10</v>
      </c>
      <c r="N40">
        <f t="shared" si="2"/>
        <v>1</v>
      </c>
      <c r="O40">
        <v>62</v>
      </c>
      <c r="P40">
        <v>92</v>
      </c>
      <c r="Q40" t="s">
        <v>1</v>
      </c>
      <c r="R40" t="s">
        <v>0</v>
      </c>
      <c r="S40">
        <v>20.48</v>
      </c>
      <c r="T40">
        <v>6</v>
      </c>
      <c r="U40">
        <v>8</v>
      </c>
      <c r="V40">
        <v>2</v>
      </c>
      <c r="W40">
        <v>2</v>
      </c>
    </row>
    <row r="41" spans="1:25" x14ac:dyDescent="0.55000000000000004">
      <c r="A41" t="s">
        <v>156</v>
      </c>
      <c r="B41">
        <v>40</v>
      </c>
      <c r="C41">
        <v>4</v>
      </c>
      <c r="D41">
        <v>8</v>
      </c>
      <c r="E41" t="s">
        <v>12</v>
      </c>
      <c r="F41" t="s">
        <v>155</v>
      </c>
      <c r="G41" s="2">
        <v>45959</v>
      </c>
      <c r="H41" s="8">
        <v>0.47916666666666702</v>
      </c>
      <c r="I41">
        <v>4</v>
      </c>
      <c r="J41">
        <v>10</v>
      </c>
      <c r="L41">
        <f t="shared" si="0"/>
        <v>10</v>
      </c>
      <c r="M41">
        <v>8.5</v>
      </c>
      <c r="N41">
        <f t="shared" si="2"/>
        <v>0.85</v>
      </c>
      <c r="O41">
        <v>63</v>
      </c>
      <c r="Q41" t="s">
        <v>1</v>
      </c>
      <c r="R41" t="s">
        <v>16</v>
      </c>
      <c r="S41">
        <v>40.880000000000003</v>
      </c>
      <c r="T41">
        <v>41</v>
      </c>
      <c r="U41">
        <v>8</v>
      </c>
      <c r="V41">
        <v>1</v>
      </c>
      <c r="W41">
        <v>2</v>
      </c>
    </row>
    <row r="42" spans="1:25" x14ac:dyDescent="0.55000000000000004">
      <c r="A42" t="s">
        <v>156</v>
      </c>
      <c r="B42">
        <v>41</v>
      </c>
      <c r="C42">
        <v>4</v>
      </c>
      <c r="D42">
        <v>9</v>
      </c>
      <c r="E42" t="s">
        <v>6</v>
      </c>
      <c r="F42" t="s">
        <v>155</v>
      </c>
      <c r="G42" s="2">
        <v>45959</v>
      </c>
      <c r="H42" s="8">
        <v>0.47916666666666702</v>
      </c>
      <c r="I42">
        <v>4</v>
      </c>
      <c r="J42">
        <v>10</v>
      </c>
      <c r="L42">
        <f t="shared" si="0"/>
        <v>10</v>
      </c>
      <c r="M42">
        <v>10</v>
      </c>
      <c r="N42">
        <f t="shared" si="2"/>
        <v>1</v>
      </c>
      <c r="O42">
        <v>64</v>
      </c>
      <c r="P42">
        <v>90</v>
      </c>
      <c r="Q42" t="s">
        <v>1</v>
      </c>
      <c r="R42" t="s">
        <v>16</v>
      </c>
      <c r="S42">
        <v>31.11</v>
      </c>
      <c r="T42">
        <v>20</v>
      </c>
      <c r="U42">
        <v>7</v>
      </c>
      <c r="V42">
        <v>2</v>
      </c>
      <c r="W42">
        <v>2</v>
      </c>
    </row>
    <row r="43" spans="1:25" x14ac:dyDescent="0.55000000000000004">
      <c r="A43" t="s">
        <v>156</v>
      </c>
      <c r="B43">
        <v>42</v>
      </c>
      <c r="C43">
        <v>4</v>
      </c>
      <c r="D43">
        <v>10</v>
      </c>
      <c r="E43" t="s">
        <v>13</v>
      </c>
      <c r="F43" t="s">
        <v>155</v>
      </c>
      <c r="G43" s="2">
        <v>45959</v>
      </c>
      <c r="H43" s="8">
        <v>0.47916666666666702</v>
      </c>
      <c r="I43">
        <v>4</v>
      </c>
      <c r="J43">
        <v>10</v>
      </c>
      <c r="L43">
        <f t="shared" si="0"/>
        <v>10</v>
      </c>
      <c r="M43">
        <v>1</v>
      </c>
      <c r="N43">
        <f t="shared" si="2"/>
        <v>0.1</v>
      </c>
      <c r="O43">
        <v>65</v>
      </c>
      <c r="Q43" t="s">
        <v>1</v>
      </c>
      <c r="R43" t="s">
        <v>16</v>
      </c>
      <c r="S43">
        <v>35.61</v>
      </c>
      <c r="T43">
        <v>27</v>
      </c>
      <c r="U43">
        <v>8</v>
      </c>
      <c r="V43">
        <v>2</v>
      </c>
      <c r="W43">
        <v>2</v>
      </c>
      <c r="Y43" t="s">
        <v>157</v>
      </c>
    </row>
    <row r="44" spans="1:25" x14ac:dyDescent="0.55000000000000004">
      <c r="A44" t="s">
        <v>156</v>
      </c>
      <c r="B44">
        <v>43</v>
      </c>
      <c r="C44">
        <v>4</v>
      </c>
      <c r="D44">
        <v>11</v>
      </c>
      <c r="E44" t="s">
        <v>12</v>
      </c>
      <c r="F44" t="s">
        <v>155</v>
      </c>
      <c r="G44" s="2">
        <v>45959</v>
      </c>
      <c r="H44" s="8">
        <v>0.47916666666666702</v>
      </c>
      <c r="I44">
        <v>4</v>
      </c>
      <c r="J44">
        <v>10</v>
      </c>
      <c r="L44">
        <f t="shared" si="0"/>
        <v>10</v>
      </c>
      <c r="M44">
        <v>9.5</v>
      </c>
      <c r="N44">
        <f t="shared" si="2"/>
        <v>0.95</v>
      </c>
      <c r="O44">
        <v>66</v>
      </c>
      <c r="Q44" t="s">
        <v>1</v>
      </c>
      <c r="R44" t="s">
        <v>1</v>
      </c>
      <c r="S44">
        <v>28.04</v>
      </c>
      <c r="T44">
        <v>15</v>
      </c>
      <c r="U44">
        <v>8</v>
      </c>
      <c r="V44">
        <v>2</v>
      </c>
      <c r="W44">
        <v>2</v>
      </c>
    </row>
    <row r="45" spans="1:25" x14ac:dyDescent="0.55000000000000004">
      <c r="A45" t="s">
        <v>156</v>
      </c>
      <c r="B45">
        <v>44</v>
      </c>
      <c r="C45">
        <v>4</v>
      </c>
      <c r="D45">
        <v>12</v>
      </c>
      <c r="E45" t="s">
        <v>6</v>
      </c>
      <c r="F45" t="s">
        <v>155</v>
      </c>
      <c r="G45" s="2">
        <v>45959</v>
      </c>
      <c r="H45" s="8">
        <v>0.47916666666666702</v>
      </c>
      <c r="I45">
        <v>4</v>
      </c>
      <c r="J45">
        <v>10</v>
      </c>
      <c r="L45">
        <f t="shared" si="0"/>
        <v>10</v>
      </c>
      <c r="M45">
        <v>9</v>
      </c>
      <c r="N45">
        <f t="shared" si="2"/>
        <v>0.9</v>
      </c>
      <c r="O45">
        <v>67</v>
      </c>
      <c r="P45">
        <v>83</v>
      </c>
      <c r="Q45" t="s">
        <v>1</v>
      </c>
      <c r="R45" t="s">
        <v>1</v>
      </c>
      <c r="S45">
        <v>28.37</v>
      </c>
      <c r="T45">
        <v>15</v>
      </c>
      <c r="U45">
        <v>8</v>
      </c>
      <c r="V45">
        <v>2</v>
      </c>
      <c r="W45">
        <v>2</v>
      </c>
    </row>
    <row r="46" spans="1:25" x14ac:dyDescent="0.55000000000000004">
      <c r="A46" t="s">
        <v>156</v>
      </c>
      <c r="B46">
        <v>45</v>
      </c>
      <c r="C46">
        <v>4</v>
      </c>
      <c r="D46">
        <v>13</v>
      </c>
      <c r="E46" t="s">
        <v>13</v>
      </c>
      <c r="F46" t="s">
        <v>155</v>
      </c>
      <c r="G46" s="2">
        <v>45959</v>
      </c>
      <c r="H46" s="8">
        <v>0.47916666666666702</v>
      </c>
      <c r="I46">
        <v>4</v>
      </c>
      <c r="J46">
        <v>10</v>
      </c>
      <c r="L46">
        <f t="shared" si="0"/>
        <v>10</v>
      </c>
      <c r="M46">
        <v>8</v>
      </c>
      <c r="N46">
        <f t="shared" si="2"/>
        <v>0.8</v>
      </c>
      <c r="O46">
        <v>68</v>
      </c>
      <c r="Q46" t="s">
        <v>1</v>
      </c>
      <c r="R46" t="s">
        <v>1</v>
      </c>
      <c r="S46">
        <v>25.25</v>
      </c>
      <c r="T46">
        <v>11</v>
      </c>
      <c r="U46">
        <v>8</v>
      </c>
      <c r="V46">
        <v>2</v>
      </c>
      <c r="W46">
        <v>2</v>
      </c>
    </row>
    <row r="47" spans="1:25" x14ac:dyDescent="0.55000000000000004">
      <c r="A47" t="s">
        <v>156</v>
      </c>
      <c r="B47">
        <v>46</v>
      </c>
      <c r="C47">
        <v>4</v>
      </c>
      <c r="D47">
        <v>14</v>
      </c>
      <c r="E47" t="s">
        <v>12</v>
      </c>
      <c r="F47" t="s">
        <v>155</v>
      </c>
      <c r="G47" s="2">
        <v>45959</v>
      </c>
      <c r="H47" s="8">
        <v>0.47916666666666702</v>
      </c>
      <c r="I47">
        <v>4</v>
      </c>
      <c r="J47">
        <v>10</v>
      </c>
      <c r="L47">
        <f t="shared" si="0"/>
        <v>10</v>
      </c>
      <c r="M47">
        <v>9.5</v>
      </c>
      <c r="N47">
        <f t="shared" si="2"/>
        <v>0.95</v>
      </c>
      <c r="O47">
        <v>69</v>
      </c>
      <c r="P47">
        <v>76</v>
      </c>
      <c r="Q47" t="s">
        <v>1</v>
      </c>
      <c r="R47" t="s">
        <v>16</v>
      </c>
      <c r="S47">
        <v>30.46</v>
      </c>
      <c r="T47">
        <v>20</v>
      </c>
      <c r="U47">
        <v>8</v>
      </c>
      <c r="V47">
        <v>2</v>
      </c>
      <c r="W47">
        <v>2</v>
      </c>
    </row>
    <row r="48" spans="1:25" x14ac:dyDescent="0.55000000000000004">
      <c r="A48" t="s">
        <v>156</v>
      </c>
      <c r="B48">
        <v>47</v>
      </c>
      <c r="C48">
        <v>4</v>
      </c>
      <c r="D48">
        <v>15</v>
      </c>
      <c r="E48" t="s">
        <v>6</v>
      </c>
      <c r="F48" t="s">
        <v>155</v>
      </c>
      <c r="G48" s="2">
        <v>45959</v>
      </c>
      <c r="H48" s="8">
        <v>0.47916666666666702</v>
      </c>
      <c r="I48">
        <v>4</v>
      </c>
      <c r="J48">
        <v>10</v>
      </c>
      <c r="L48">
        <f t="shared" si="0"/>
        <v>10</v>
      </c>
      <c r="M48">
        <v>10</v>
      </c>
      <c r="N48">
        <f t="shared" si="2"/>
        <v>1</v>
      </c>
      <c r="O48">
        <v>70</v>
      </c>
      <c r="P48">
        <v>79</v>
      </c>
      <c r="Q48" t="s">
        <v>1</v>
      </c>
      <c r="R48" t="s">
        <v>1</v>
      </c>
      <c r="S48">
        <v>24.78</v>
      </c>
      <c r="T48">
        <v>10</v>
      </c>
      <c r="U48">
        <v>6</v>
      </c>
      <c r="V48">
        <v>2</v>
      </c>
      <c r="W48">
        <v>2</v>
      </c>
    </row>
    <row r="49" spans="1:23" x14ac:dyDescent="0.55000000000000004">
      <c r="A49" t="s">
        <v>156</v>
      </c>
      <c r="B49">
        <v>48</v>
      </c>
      <c r="C49">
        <v>4</v>
      </c>
      <c r="D49">
        <v>16</v>
      </c>
      <c r="E49" t="s">
        <v>13</v>
      </c>
      <c r="F49" t="s">
        <v>155</v>
      </c>
      <c r="G49" s="2">
        <v>45959</v>
      </c>
      <c r="H49" s="8">
        <v>0.47916666666666702</v>
      </c>
      <c r="I49">
        <v>4</v>
      </c>
      <c r="J49">
        <v>10</v>
      </c>
      <c r="L49">
        <f t="shared" si="0"/>
        <v>10</v>
      </c>
      <c r="M49">
        <v>8</v>
      </c>
      <c r="N49">
        <f t="shared" si="2"/>
        <v>0.8</v>
      </c>
      <c r="O49">
        <v>71</v>
      </c>
      <c r="Q49" t="s">
        <v>1</v>
      </c>
      <c r="R49" t="s">
        <v>1</v>
      </c>
      <c r="S49">
        <v>24.34</v>
      </c>
      <c r="T49">
        <v>9</v>
      </c>
      <c r="U49">
        <v>8</v>
      </c>
      <c r="V49">
        <v>2</v>
      </c>
      <c r="W49">
        <v>1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CDD3C-BFC6-4E05-889C-A3C43CAF9042}">
  <dimension ref="A1:E33"/>
  <sheetViews>
    <sheetView workbookViewId="0">
      <selection activeCell="B3" sqref="B3"/>
    </sheetView>
  </sheetViews>
  <sheetFormatPr defaultRowHeight="14.4" x14ac:dyDescent="0.55000000000000004"/>
  <cols>
    <col min="2" max="2" width="12" bestFit="1" customWidth="1"/>
  </cols>
  <sheetData>
    <row r="1" spans="1:5" x14ac:dyDescent="0.55000000000000004">
      <c r="A1" t="s">
        <v>189</v>
      </c>
      <c r="D1" t="s">
        <v>188</v>
      </c>
    </row>
    <row r="2" spans="1:5" x14ac:dyDescent="0.55000000000000004">
      <c r="A2" t="s">
        <v>187</v>
      </c>
      <c r="B2" t="s">
        <v>186</v>
      </c>
      <c r="D2" t="s">
        <v>187</v>
      </c>
      <c r="E2" t="s">
        <v>186</v>
      </c>
    </row>
    <row r="3" spans="1:5" x14ac:dyDescent="0.55000000000000004">
      <c r="A3" t="s">
        <v>185</v>
      </c>
      <c r="B3" s="14">
        <f>AVERAGE(B4:B33)</f>
        <v>5.4136666666666645E-2</v>
      </c>
      <c r="D3" t="s">
        <v>185</v>
      </c>
      <c r="E3" s="14">
        <f>AVERAGE(E4:E33)</f>
        <v>5.3276937500000008</v>
      </c>
    </row>
    <row r="4" spans="1:5" x14ac:dyDescent="0.55000000000000004">
      <c r="A4">
        <v>1</v>
      </c>
      <c r="B4">
        <v>6.5600000000000006E-2</v>
      </c>
      <c r="D4">
        <v>1</v>
      </c>
      <c r="E4">
        <v>5.3125999999999998</v>
      </c>
    </row>
    <row r="5" spans="1:5" x14ac:dyDescent="0.55000000000000004">
      <c r="A5">
        <v>2</v>
      </c>
      <c r="B5">
        <v>4.9399999999999999E-2</v>
      </c>
      <c r="D5">
        <v>2</v>
      </c>
      <c r="E5">
        <v>5.3052999999999999</v>
      </c>
    </row>
    <row r="6" spans="1:5" x14ac:dyDescent="0.55000000000000004">
      <c r="A6">
        <v>3</v>
      </c>
      <c r="B6">
        <v>6.5500000000000003E-2</v>
      </c>
      <c r="D6">
        <v>3</v>
      </c>
      <c r="E6">
        <v>5.3022</v>
      </c>
    </row>
    <row r="7" spans="1:5" x14ac:dyDescent="0.55000000000000004">
      <c r="A7">
        <v>4</v>
      </c>
      <c r="B7">
        <v>6.0299999999999999E-2</v>
      </c>
      <c r="D7">
        <v>4</v>
      </c>
      <c r="E7">
        <v>5.3243999999999998</v>
      </c>
    </row>
    <row r="8" spans="1:5" x14ac:dyDescent="0.55000000000000004">
      <c r="A8">
        <v>5</v>
      </c>
      <c r="B8">
        <v>5.9900000000000002E-2</v>
      </c>
      <c r="D8">
        <v>5</v>
      </c>
      <c r="E8">
        <v>5.3045999999999998</v>
      </c>
    </row>
    <row r="9" spans="1:5" x14ac:dyDescent="0.55000000000000004">
      <c r="A9">
        <v>6</v>
      </c>
      <c r="B9">
        <v>6.3799999999999996E-2</v>
      </c>
      <c r="D9">
        <v>6</v>
      </c>
      <c r="E9">
        <v>5.3489000000000004</v>
      </c>
    </row>
    <row r="10" spans="1:5" x14ac:dyDescent="0.55000000000000004">
      <c r="A10">
        <v>7</v>
      </c>
      <c r="B10">
        <v>4.7500000000000001E-2</v>
      </c>
      <c r="D10">
        <v>7</v>
      </c>
      <c r="E10">
        <v>5.3219000000000003</v>
      </c>
    </row>
    <row r="11" spans="1:5" x14ac:dyDescent="0.55000000000000004">
      <c r="A11">
        <v>8</v>
      </c>
      <c r="B11">
        <v>4.3799999999999999E-2</v>
      </c>
      <c r="D11">
        <v>8</v>
      </c>
      <c r="E11">
        <v>5.3417000000000003</v>
      </c>
    </row>
    <row r="12" spans="1:5" x14ac:dyDescent="0.55000000000000004">
      <c r="A12">
        <v>9</v>
      </c>
      <c r="B12">
        <v>6.0199999999999997E-2</v>
      </c>
      <c r="D12">
        <v>9</v>
      </c>
      <c r="E12">
        <v>5.3342000000000001</v>
      </c>
    </row>
    <row r="13" spans="1:5" x14ac:dyDescent="0.55000000000000004">
      <c r="A13">
        <v>10</v>
      </c>
      <c r="B13">
        <v>5.8999999999999997E-2</v>
      </c>
      <c r="D13">
        <v>10</v>
      </c>
      <c r="E13">
        <v>5.2823000000000002</v>
      </c>
    </row>
    <row r="14" spans="1:5" x14ac:dyDescent="0.55000000000000004">
      <c r="A14">
        <v>11</v>
      </c>
      <c r="B14">
        <v>6.08E-2</v>
      </c>
      <c r="D14">
        <v>11</v>
      </c>
      <c r="E14">
        <v>5.3769</v>
      </c>
    </row>
    <row r="15" spans="1:5" x14ac:dyDescent="0.55000000000000004">
      <c r="A15">
        <v>12</v>
      </c>
      <c r="B15">
        <v>4.3700000000000003E-2</v>
      </c>
      <c r="D15">
        <v>12</v>
      </c>
      <c r="E15">
        <v>5.2651000000000003</v>
      </c>
    </row>
    <row r="16" spans="1:5" x14ac:dyDescent="0.55000000000000004">
      <c r="A16">
        <v>13</v>
      </c>
      <c r="B16">
        <v>5.7500000000000002E-2</v>
      </c>
      <c r="D16">
        <v>13</v>
      </c>
      <c r="E16">
        <v>5.3407999999999998</v>
      </c>
    </row>
    <row r="17" spans="1:5" x14ac:dyDescent="0.55000000000000004">
      <c r="A17">
        <v>14</v>
      </c>
      <c r="B17">
        <v>4.7600000000000003E-2</v>
      </c>
      <c r="D17">
        <v>14</v>
      </c>
      <c r="E17">
        <v>5.335</v>
      </c>
    </row>
    <row r="18" spans="1:5" x14ac:dyDescent="0.55000000000000004">
      <c r="A18">
        <v>15</v>
      </c>
      <c r="B18">
        <v>5.0799999999999998E-2</v>
      </c>
      <c r="D18">
        <v>15</v>
      </c>
      <c r="E18">
        <v>5.3906000000000001</v>
      </c>
    </row>
    <row r="19" spans="1:5" x14ac:dyDescent="0.55000000000000004">
      <c r="A19">
        <v>16</v>
      </c>
      <c r="B19">
        <v>4.9700000000000001E-2</v>
      </c>
      <c r="D19">
        <v>16</v>
      </c>
      <c r="E19">
        <v>5.3566000000000003</v>
      </c>
    </row>
    <row r="20" spans="1:5" x14ac:dyDescent="0.55000000000000004">
      <c r="A20">
        <v>17</v>
      </c>
      <c r="B20">
        <v>5.8299999999999998E-2</v>
      </c>
    </row>
    <row r="21" spans="1:5" x14ac:dyDescent="0.55000000000000004">
      <c r="A21">
        <v>18</v>
      </c>
      <c r="B21">
        <v>4.5900000000000003E-2</v>
      </c>
    </row>
    <row r="22" spans="1:5" x14ac:dyDescent="0.55000000000000004">
      <c r="A22">
        <v>19</v>
      </c>
      <c r="B22">
        <v>5.8700000000000002E-2</v>
      </c>
    </row>
    <row r="23" spans="1:5" x14ac:dyDescent="0.55000000000000004">
      <c r="A23">
        <v>20</v>
      </c>
      <c r="B23">
        <v>4.65E-2</v>
      </c>
    </row>
    <row r="24" spans="1:5" x14ac:dyDescent="0.55000000000000004">
      <c r="A24">
        <v>21</v>
      </c>
      <c r="B24">
        <v>6.54E-2</v>
      </c>
    </row>
    <row r="25" spans="1:5" x14ac:dyDescent="0.55000000000000004">
      <c r="A25">
        <v>22</v>
      </c>
      <c r="B25">
        <v>5.2900000000000003E-2</v>
      </c>
    </row>
    <row r="26" spans="1:5" x14ac:dyDescent="0.55000000000000004">
      <c r="A26">
        <v>23</v>
      </c>
      <c r="B26">
        <v>6.0999999999999999E-2</v>
      </c>
    </row>
    <row r="27" spans="1:5" x14ac:dyDescent="0.55000000000000004">
      <c r="A27">
        <v>24</v>
      </c>
      <c r="B27">
        <v>6.2399999999999997E-2</v>
      </c>
    </row>
    <row r="28" spans="1:5" x14ac:dyDescent="0.55000000000000004">
      <c r="A28">
        <v>25</v>
      </c>
      <c r="B28" s="13">
        <v>4.1099999999999998E-2</v>
      </c>
    </row>
    <row r="29" spans="1:5" x14ac:dyDescent="0.55000000000000004">
      <c r="A29">
        <v>26</v>
      </c>
      <c r="B29">
        <v>5.9900000000000002E-2</v>
      </c>
    </row>
    <row r="30" spans="1:5" x14ac:dyDescent="0.55000000000000004">
      <c r="A30">
        <v>27</v>
      </c>
      <c r="B30">
        <v>4.2999999999999997E-2</v>
      </c>
    </row>
    <row r="31" spans="1:5" x14ac:dyDescent="0.55000000000000004">
      <c r="A31">
        <v>28</v>
      </c>
      <c r="B31">
        <v>4.2200000000000001E-2</v>
      </c>
    </row>
    <row r="32" spans="1:5" x14ac:dyDescent="0.55000000000000004">
      <c r="A32">
        <v>29</v>
      </c>
      <c r="B32">
        <v>5.1200000000000002E-2</v>
      </c>
    </row>
    <row r="33" spans="1:2" x14ac:dyDescent="0.55000000000000004">
      <c r="A33">
        <v>30</v>
      </c>
      <c r="B33">
        <v>5.0500000000000003E-2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B41AF-8105-4C18-8106-47C7D54E511E}">
  <dimension ref="A1:AO66"/>
  <sheetViews>
    <sheetView topLeftCell="C1" zoomScale="40" zoomScaleNormal="40" workbookViewId="0">
      <pane xSplit="2" ySplit="1" topLeftCell="E8" activePane="bottomRight" state="frozen"/>
      <selection pane="topRight" activeCell="F1" sqref="F1"/>
      <selection pane="bottomLeft" activeCell="C2" sqref="C2"/>
      <selection pane="bottomRight" activeCell="I9" sqref="I9"/>
    </sheetView>
  </sheetViews>
  <sheetFormatPr defaultRowHeight="14.4" x14ac:dyDescent="0.55000000000000004"/>
  <cols>
    <col min="3" max="3" width="8.15625" bestFit="1" customWidth="1"/>
    <col min="4" max="4" width="9" bestFit="1" customWidth="1"/>
    <col min="5" max="5" width="4" bestFit="1" customWidth="1"/>
    <col min="6" max="6" width="10.15625" bestFit="1" customWidth="1"/>
    <col min="8" max="8" width="9.68359375" bestFit="1" customWidth="1"/>
    <col min="9" max="9" width="10.578125" bestFit="1" customWidth="1"/>
    <col min="10" max="10" width="10.578125" customWidth="1"/>
    <col min="11" max="11" width="10.7890625" bestFit="1" customWidth="1"/>
    <col min="12" max="12" width="9.68359375" bestFit="1" customWidth="1"/>
    <col min="40" max="40" width="10.26171875" bestFit="1" customWidth="1"/>
  </cols>
  <sheetData>
    <row r="1" spans="1:41" x14ac:dyDescent="0.55000000000000004">
      <c r="A1" s="4" t="s">
        <v>135</v>
      </c>
      <c r="B1" s="4" t="s">
        <v>95</v>
      </c>
      <c r="C1" s="4" t="s">
        <v>184</v>
      </c>
      <c r="D1" s="4" t="s">
        <v>92</v>
      </c>
      <c r="E1" s="4" t="s">
        <v>183</v>
      </c>
      <c r="F1" s="4" t="s">
        <v>93</v>
      </c>
      <c r="G1" s="4" t="s">
        <v>143</v>
      </c>
      <c r="H1" s="4" t="s">
        <v>182</v>
      </c>
      <c r="I1" s="4" t="s">
        <v>181</v>
      </c>
      <c r="J1" s="4" t="s">
        <v>180</v>
      </c>
      <c r="K1" s="4" t="s">
        <v>179</v>
      </c>
      <c r="L1" s="4" t="s">
        <v>178</v>
      </c>
      <c r="M1" s="4" t="s">
        <v>177</v>
      </c>
      <c r="N1" s="4" t="s">
        <v>176</v>
      </c>
      <c r="O1" s="4" t="s">
        <v>175</v>
      </c>
      <c r="P1" s="4" t="s">
        <v>174</v>
      </c>
      <c r="Q1" s="4" t="s">
        <v>173</v>
      </c>
      <c r="R1" s="4" t="s">
        <v>172</v>
      </c>
      <c r="S1" s="4" t="s">
        <v>171</v>
      </c>
      <c r="T1" s="4" t="s">
        <v>170</v>
      </c>
      <c r="U1" s="4" t="s">
        <v>169</v>
      </c>
      <c r="V1" s="4" t="s">
        <v>168</v>
      </c>
      <c r="W1" s="4" t="s">
        <v>167</v>
      </c>
      <c r="X1" s="4" t="s">
        <v>166</v>
      </c>
      <c r="Y1" s="4" t="s">
        <v>47</v>
      </c>
      <c r="Z1" s="4" t="s">
        <v>46</v>
      </c>
      <c r="AA1" s="4" t="s">
        <v>45</v>
      </c>
      <c r="AB1" s="4" t="s">
        <v>43</v>
      </c>
      <c r="AC1" s="4" t="s">
        <v>42</v>
      </c>
      <c r="AD1" s="4" t="s">
        <v>41</v>
      </c>
      <c r="AE1" s="4" t="s">
        <v>40</v>
      </c>
      <c r="AF1" s="4" t="s">
        <v>39</v>
      </c>
      <c r="AG1" s="4" t="s">
        <v>38</v>
      </c>
      <c r="AH1" s="4" t="s">
        <v>37</v>
      </c>
      <c r="AI1" s="4" t="s">
        <v>35</v>
      </c>
      <c r="AJ1" s="4" t="s">
        <v>34</v>
      </c>
      <c r="AK1" s="4" t="s">
        <v>33</v>
      </c>
      <c r="AL1" s="4" t="s">
        <v>32</v>
      </c>
      <c r="AM1" s="4" t="s">
        <v>31</v>
      </c>
      <c r="AN1" s="4" t="s">
        <v>165</v>
      </c>
      <c r="AO1" s="4" t="s">
        <v>29</v>
      </c>
    </row>
    <row r="2" spans="1:41" s="3" customFormat="1" x14ac:dyDescent="0.55000000000000004">
      <c r="A2" s="3" t="s">
        <v>190</v>
      </c>
      <c r="B2" s="3">
        <v>1</v>
      </c>
      <c r="C2" s="3">
        <v>1</v>
      </c>
      <c r="D2" s="3" t="s">
        <v>13</v>
      </c>
      <c r="E2" s="3" t="s">
        <v>164</v>
      </c>
      <c r="F2" s="2">
        <v>45937</v>
      </c>
      <c r="G2" s="11">
        <v>0.5</v>
      </c>
      <c r="H2" s="3">
        <v>2</v>
      </c>
      <c r="I2" s="3">
        <v>5</v>
      </c>
      <c r="K2" s="3">
        <v>2</v>
      </c>
      <c r="L2" s="3">
        <v>5</v>
      </c>
      <c r="M2" s="3">
        <f t="shared" ref="M2:M33" si="0">I2+L2</f>
        <v>10</v>
      </c>
      <c r="N2" s="3">
        <v>7</v>
      </c>
      <c r="O2" s="3">
        <f t="shared" ref="O2:O33" si="1">N2/M2</f>
        <v>0.7</v>
      </c>
      <c r="P2" s="3">
        <v>0</v>
      </c>
      <c r="Q2" s="3">
        <v>2</v>
      </c>
      <c r="R2" s="3">
        <f t="shared" ref="R2:R33" si="2">I2+L2+P2</f>
        <v>10</v>
      </c>
      <c r="S2" s="3">
        <f t="shared" ref="S2:S17" si="3">R2-Q2</f>
        <v>8</v>
      </c>
      <c r="T2" s="10">
        <f>R2*pellet_weigth!$B$3</f>
        <v>0.54136666666666644</v>
      </c>
      <c r="U2" s="3">
        <v>5.3125999999999998</v>
      </c>
      <c r="V2" s="3">
        <v>5.3324999999999996</v>
      </c>
      <c r="W2" s="3">
        <f t="shared" ref="W2:W17" si="4">V2-U2</f>
        <v>1.9899999999999807E-2</v>
      </c>
      <c r="X2" s="10">
        <f t="shared" ref="X2:X17" si="5">T2-W2</f>
        <v>0.52146666666666663</v>
      </c>
      <c r="Y2" s="3" t="s">
        <v>163</v>
      </c>
      <c r="Z2" s="3">
        <v>1</v>
      </c>
      <c r="AA2" s="3">
        <v>27</v>
      </c>
      <c r="AB2" s="3" t="s">
        <v>162</v>
      </c>
      <c r="AC2" s="3" t="s">
        <v>1</v>
      </c>
      <c r="AD2" s="3">
        <v>28.66</v>
      </c>
      <c r="AE2" s="3">
        <v>16</v>
      </c>
      <c r="AF2" s="3">
        <v>8</v>
      </c>
      <c r="AG2" s="3">
        <v>2</v>
      </c>
      <c r="AH2" s="3">
        <v>2</v>
      </c>
    </row>
    <row r="3" spans="1:41" s="3" customFormat="1" x14ac:dyDescent="0.55000000000000004">
      <c r="A3" s="3" t="s">
        <v>190</v>
      </c>
      <c r="B3" s="3">
        <v>1</v>
      </c>
      <c r="C3" s="3">
        <v>2</v>
      </c>
      <c r="D3" s="3" t="s">
        <v>12</v>
      </c>
      <c r="E3" s="3" t="s">
        <v>164</v>
      </c>
      <c r="F3" s="2">
        <v>45937</v>
      </c>
      <c r="G3" s="11">
        <v>0.5</v>
      </c>
      <c r="H3" s="3">
        <v>2</v>
      </c>
      <c r="I3" s="3">
        <v>5</v>
      </c>
      <c r="K3" s="3">
        <v>5</v>
      </c>
      <c r="L3" s="3">
        <v>0</v>
      </c>
      <c r="M3" s="3">
        <f t="shared" si="0"/>
        <v>5</v>
      </c>
      <c r="N3" s="3">
        <v>5</v>
      </c>
      <c r="O3" s="3">
        <f t="shared" si="1"/>
        <v>1</v>
      </c>
      <c r="P3" s="3">
        <v>0</v>
      </c>
      <c r="Q3" s="3">
        <v>4.5</v>
      </c>
      <c r="R3" s="3">
        <f t="shared" si="2"/>
        <v>5</v>
      </c>
      <c r="S3" s="3">
        <f t="shared" si="3"/>
        <v>0.5</v>
      </c>
      <c r="T3" s="10">
        <f>R3*pellet_weigth!$B$3</f>
        <v>0.27068333333333322</v>
      </c>
      <c r="U3" s="3">
        <v>5.3052999999999999</v>
      </c>
      <c r="V3" s="3">
        <v>5.3487999999999998</v>
      </c>
      <c r="W3" s="3">
        <f t="shared" si="4"/>
        <v>4.3499999999999872E-2</v>
      </c>
      <c r="X3" s="10">
        <f t="shared" si="5"/>
        <v>0.22718333333333335</v>
      </c>
      <c r="Y3" s="3" t="s">
        <v>163</v>
      </c>
      <c r="Z3" s="3">
        <v>2</v>
      </c>
      <c r="AA3" s="3">
        <v>30</v>
      </c>
      <c r="AB3" s="3" t="s">
        <v>162</v>
      </c>
      <c r="AC3" s="3" t="s">
        <v>1</v>
      </c>
      <c r="AD3" s="3">
        <v>27.29</v>
      </c>
      <c r="AE3" s="3">
        <v>12</v>
      </c>
      <c r="AF3" s="3">
        <v>8</v>
      </c>
      <c r="AG3" s="3">
        <v>2</v>
      </c>
      <c r="AH3" s="3">
        <v>2</v>
      </c>
    </row>
    <row r="4" spans="1:41" s="3" customFormat="1" x14ac:dyDescent="0.55000000000000004">
      <c r="A4" s="3" t="s">
        <v>190</v>
      </c>
      <c r="B4" s="3">
        <v>1</v>
      </c>
      <c r="C4" s="3">
        <v>3</v>
      </c>
      <c r="D4" s="3" t="s">
        <v>6</v>
      </c>
      <c r="E4" s="3" t="s">
        <v>164</v>
      </c>
      <c r="F4" s="2">
        <v>45937</v>
      </c>
      <c r="G4" s="11">
        <v>0.5</v>
      </c>
      <c r="H4" s="3">
        <v>2</v>
      </c>
      <c r="I4" s="3">
        <v>5</v>
      </c>
      <c r="K4" s="3">
        <v>0</v>
      </c>
      <c r="L4" s="3">
        <v>5</v>
      </c>
      <c r="M4" s="3">
        <f t="shared" si="0"/>
        <v>10</v>
      </c>
      <c r="N4" s="3">
        <v>1</v>
      </c>
      <c r="O4" s="3">
        <f t="shared" si="1"/>
        <v>0.1</v>
      </c>
      <c r="P4" s="3">
        <v>5</v>
      </c>
      <c r="Q4" s="3">
        <v>4.5</v>
      </c>
      <c r="R4" s="3">
        <f t="shared" si="2"/>
        <v>15</v>
      </c>
      <c r="S4" s="3">
        <f t="shared" si="3"/>
        <v>10.5</v>
      </c>
      <c r="T4" s="10">
        <f>R4*pellet_weigth!$B$3</f>
        <v>0.81204999999999972</v>
      </c>
      <c r="U4" s="3">
        <v>5.3022</v>
      </c>
      <c r="V4" s="3">
        <v>5.4924999999999997</v>
      </c>
      <c r="W4" s="3">
        <f t="shared" si="4"/>
        <v>0.19029999999999969</v>
      </c>
      <c r="X4" s="10">
        <f t="shared" si="5"/>
        <v>0.62175000000000002</v>
      </c>
      <c r="Y4" s="3" t="s">
        <v>163</v>
      </c>
      <c r="Z4" s="3">
        <v>3</v>
      </c>
      <c r="AA4" s="3">
        <v>18</v>
      </c>
      <c r="AB4" s="3" t="s">
        <v>162</v>
      </c>
      <c r="AC4" s="3" t="s">
        <v>1</v>
      </c>
      <c r="AD4" s="3">
        <v>28.54</v>
      </c>
      <c r="AE4" s="3">
        <v>16</v>
      </c>
      <c r="AF4" s="3">
        <v>8</v>
      </c>
      <c r="AG4" s="3">
        <v>2</v>
      </c>
      <c r="AH4" s="3">
        <v>2</v>
      </c>
    </row>
    <row r="5" spans="1:41" s="3" customFormat="1" x14ac:dyDescent="0.55000000000000004">
      <c r="A5" s="3" t="s">
        <v>190</v>
      </c>
      <c r="B5" s="3">
        <v>1</v>
      </c>
      <c r="C5" s="3">
        <v>4</v>
      </c>
      <c r="D5" s="3" t="s">
        <v>13</v>
      </c>
      <c r="E5" s="3" t="s">
        <v>164</v>
      </c>
      <c r="F5" s="2">
        <v>45937</v>
      </c>
      <c r="G5" s="11">
        <v>0.5</v>
      </c>
      <c r="H5" s="3">
        <v>2</v>
      </c>
      <c r="I5" s="3">
        <v>5</v>
      </c>
      <c r="K5" s="3">
        <v>4</v>
      </c>
      <c r="L5" s="3">
        <v>0</v>
      </c>
      <c r="M5" s="3">
        <f t="shared" si="0"/>
        <v>5</v>
      </c>
      <c r="N5" s="3">
        <v>4</v>
      </c>
      <c r="O5" s="3">
        <f t="shared" si="1"/>
        <v>0.8</v>
      </c>
      <c r="P5" s="3">
        <v>0</v>
      </c>
      <c r="Q5" s="3">
        <v>0</v>
      </c>
      <c r="R5" s="3">
        <f t="shared" si="2"/>
        <v>5</v>
      </c>
      <c r="S5" s="3">
        <f t="shared" si="3"/>
        <v>5</v>
      </c>
      <c r="T5" s="10">
        <f>R5*pellet_weigth!$B$3</f>
        <v>0.27068333333333322</v>
      </c>
      <c r="U5" s="3">
        <v>5.3243999999999998</v>
      </c>
      <c r="V5" s="3">
        <v>5.3719000000000001</v>
      </c>
      <c r="W5" s="3">
        <f t="shared" si="4"/>
        <v>4.750000000000032E-2</v>
      </c>
      <c r="X5" s="10">
        <f t="shared" si="5"/>
        <v>0.2231833333333329</v>
      </c>
      <c r="Y5" s="3" t="s">
        <v>163</v>
      </c>
      <c r="Z5" s="3">
        <v>4</v>
      </c>
      <c r="AA5" s="3">
        <v>7</v>
      </c>
      <c r="AB5" s="3" t="s">
        <v>162</v>
      </c>
      <c r="AC5" s="3" t="s">
        <v>16</v>
      </c>
      <c r="AD5" s="3">
        <v>30.81</v>
      </c>
      <c r="AE5" s="3">
        <v>20</v>
      </c>
      <c r="AF5" s="3">
        <v>8</v>
      </c>
      <c r="AG5" s="3">
        <v>2</v>
      </c>
      <c r="AH5" s="3">
        <v>2</v>
      </c>
    </row>
    <row r="6" spans="1:41" s="3" customFormat="1" x14ac:dyDescent="0.55000000000000004">
      <c r="A6" s="3" t="s">
        <v>190</v>
      </c>
      <c r="B6" s="3">
        <v>1</v>
      </c>
      <c r="C6" s="3">
        <v>5</v>
      </c>
      <c r="D6" s="3" t="s">
        <v>12</v>
      </c>
      <c r="E6" s="3" t="s">
        <v>164</v>
      </c>
      <c r="F6" s="2">
        <v>45937</v>
      </c>
      <c r="G6" s="11">
        <v>0.5</v>
      </c>
      <c r="H6" s="3">
        <v>2</v>
      </c>
      <c r="I6" s="3">
        <v>5</v>
      </c>
      <c r="K6" s="3">
        <v>5</v>
      </c>
      <c r="L6" s="3">
        <v>0</v>
      </c>
      <c r="M6" s="3">
        <f t="shared" si="0"/>
        <v>5</v>
      </c>
      <c r="N6" s="3">
        <v>4.5</v>
      </c>
      <c r="O6" s="3">
        <f t="shared" si="1"/>
        <v>0.9</v>
      </c>
      <c r="P6" s="3">
        <v>0</v>
      </c>
      <c r="Q6" s="3">
        <v>0.5</v>
      </c>
      <c r="R6" s="3">
        <f t="shared" si="2"/>
        <v>5</v>
      </c>
      <c r="S6" s="3">
        <f t="shared" si="3"/>
        <v>4.5</v>
      </c>
      <c r="T6" s="10">
        <f>R6*pellet_weigth!$B$3</f>
        <v>0.27068333333333322</v>
      </c>
      <c r="U6" s="3">
        <v>5.3045999999999998</v>
      </c>
      <c r="V6" s="3">
        <v>5.3333000000000004</v>
      </c>
      <c r="W6" s="3">
        <f t="shared" si="4"/>
        <v>2.8700000000000614E-2</v>
      </c>
      <c r="X6" s="10">
        <f t="shared" si="5"/>
        <v>0.24198333333333261</v>
      </c>
      <c r="Y6" s="3" t="s">
        <v>163</v>
      </c>
      <c r="Z6" s="3">
        <v>5</v>
      </c>
      <c r="AB6" s="3" t="s">
        <v>162</v>
      </c>
      <c r="AC6" s="3" t="s">
        <v>0</v>
      </c>
      <c r="AD6" s="3">
        <v>20.21</v>
      </c>
      <c r="AE6" s="3">
        <v>5</v>
      </c>
      <c r="AF6" s="3">
        <v>8</v>
      </c>
      <c r="AG6" s="3">
        <v>2</v>
      </c>
      <c r="AH6" s="3">
        <v>2</v>
      </c>
    </row>
    <row r="7" spans="1:41" s="3" customFormat="1" x14ac:dyDescent="0.55000000000000004">
      <c r="A7" s="3" t="s">
        <v>190</v>
      </c>
      <c r="B7" s="3">
        <v>1</v>
      </c>
      <c r="C7" s="3">
        <v>6</v>
      </c>
      <c r="D7" s="3" t="s">
        <v>6</v>
      </c>
      <c r="E7" s="3" t="s">
        <v>164</v>
      </c>
      <c r="F7" s="2">
        <v>45937</v>
      </c>
      <c r="G7" s="11">
        <v>0.5</v>
      </c>
      <c r="H7" s="3">
        <v>2</v>
      </c>
      <c r="I7" s="3">
        <v>5</v>
      </c>
      <c r="K7" s="3">
        <v>1</v>
      </c>
      <c r="L7" s="3">
        <v>5</v>
      </c>
      <c r="M7" s="3">
        <f t="shared" si="0"/>
        <v>10</v>
      </c>
      <c r="N7" s="3">
        <v>5</v>
      </c>
      <c r="O7" s="3">
        <f t="shared" si="1"/>
        <v>0.5</v>
      </c>
      <c r="P7" s="3">
        <v>0</v>
      </c>
      <c r="Q7" s="3">
        <v>5</v>
      </c>
      <c r="R7" s="3">
        <f t="shared" si="2"/>
        <v>10</v>
      </c>
      <c r="S7" s="3">
        <f t="shared" si="3"/>
        <v>5</v>
      </c>
      <c r="T7" s="10">
        <f>R7*pellet_weigth!$B$3</f>
        <v>0.54136666666666644</v>
      </c>
      <c r="U7" s="3">
        <v>5.3489000000000004</v>
      </c>
      <c r="V7" s="3">
        <v>5.4973000000000001</v>
      </c>
      <c r="W7" s="3">
        <f t="shared" si="4"/>
        <v>0.14839999999999964</v>
      </c>
      <c r="X7" s="10">
        <f t="shared" si="5"/>
        <v>0.3929666666666668</v>
      </c>
      <c r="Y7" s="3" t="s">
        <v>163</v>
      </c>
      <c r="Z7" s="3">
        <v>6</v>
      </c>
      <c r="AB7" s="3" t="s">
        <v>162</v>
      </c>
      <c r="AC7" s="3" t="s">
        <v>1</v>
      </c>
      <c r="AD7" s="3">
        <v>23.21</v>
      </c>
      <c r="AE7" s="3">
        <v>8</v>
      </c>
      <c r="AF7" s="3">
        <v>6</v>
      </c>
      <c r="AG7" s="3">
        <v>1</v>
      </c>
      <c r="AH7" s="3">
        <v>2</v>
      </c>
    </row>
    <row r="8" spans="1:41" s="3" customFormat="1" x14ac:dyDescent="0.55000000000000004">
      <c r="A8" s="3" t="s">
        <v>190</v>
      </c>
      <c r="B8" s="3">
        <v>1</v>
      </c>
      <c r="C8" s="3">
        <v>7</v>
      </c>
      <c r="D8" s="3" t="s">
        <v>13</v>
      </c>
      <c r="E8" s="3" t="s">
        <v>164</v>
      </c>
      <c r="F8" s="2">
        <v>45937</v>
      </c>
      <c r="G8" s="11">
        <v>0.5</v>
      </c>
      <c r="H8" s="3">
        <v>2</v>
      </c>
      <c r="I8" s="3">
        <v>5</v>
      </c>
      <c r="K8" s="3">
        <v>0</v>
      </c>
      <c r="L8" s="3">
        <v>5</v>
      </c>
      <c r="M8" s="3">
        <f t="shared" si="0"/>
        <v>10</v>
      </c>
      <c r="N8" s="3">
        <v>2.5</v>
      </c>
      <c r="O8" s="3">
        <f t="shared" si="1"/>
        <v>0.25</v>
      </c>
      <c r="P8" s="3">
        <v>5</v>
      </c>
      <c r="Q8" s="3">
        <v>5</v>
      </c>
      <c r="R8" s="3">
        <f t="shared" si="2"/>
        <v>15</v>
      </c>
      <c r="S8" s="3">
        <f t="shared" si="3"/>
        <v>10</v>
      </c>
      <c r="T8" s="10">
        <f>R8*pellet_weigth!$B$3</f>
        <v>0.81204999999999972</v>
      </c>
      <c r="U8" s="3">
        <v>5.3219000000000003</v>
      </c>
      <c r="V8" s="3">
        <v>5.5107999999999997</v>
      </c>
      <c r="W8" s="3">
        <f t="shared" si="4"/>
        <v>0.1888999999999994</v>
      </c>
      <c r="X8" s="10">
        <f t="shared" si="5"/>
        <v>0.62315000000000031</v>
      </c>
      <c r="Y8" s="3" t="s">
        <v>163</v>
      </c>
      <c r="Z8" s="3">
        <v>7</v>
      </c>
      <c r="AA8" s="3">
        <v>35</v>
      </c>
      <c r="AB8" s="3" t="s">
        <v>162</v>
      </c>
      <c r="AC8" s="3" t="s">
        <v>1</v>
      </c>
      <c r="AD8" s="3">
        <v>25.55</v>
      </c>
      <c r="AE8" s="3">
        <v>11</v>
      </c>
      <c r="AF8" s="3">
        <v>7</v>
      </c>
      <c r="AG8" s="3">
        <v>2</v>
      </c>
      <c r="AH8" s="3">
        <v>1</v>
      </c>
    </row>
    <row r="9" spans="1:41" s="3" customFormat="1" x14ac:dyDescent="0.55000000000000004">
      <c r="A9" s="3" t="s">
        <v>190</v>
      </c>
      <c r="B9" s="3">
        <v>1</v>
      </c>
      <c r="C9" s="3">
        <v>8</v>
      </c>
      <c r="D9" s="3" t="s">
        <v>12</v>
      </c>
      <c r="E9" s="3" t="s">
        <v>164</v>
      </c>
      <c r="F9" s="2">
        <v>45937</v>
      </c>
      <c r="G9" s="11">
        <v>0.5</v>
      </c>
      <c r="H9" s="3">
        <v>2</v>
      </c>
      <c r="I9" s="3">
        <v>5</v>
      </c>
      <c r="K9" s="3">
        <v>2</v>
      </c>
      <c r="L9" s="3">
        <v>5</v>
      </c>
      <c r="M9" s="3">
        <f t="shared" si="0"/>
        <v>10</v>
      </c>
      <c r="N9" s="3">
        <v>7</v>
      </c>
      <c r="O9" s="3">
        <f t="shared" si="1"/>
        <v>0.7</v>
      </c>
      <c r="P9" s="3">
        <v>0</v>
      </c>
      <c r="Q9" s="3">
        <v>6</v>
      </c>
      <c r="R9" s="3">
        <f t="shared" si="2"/>
        <v>10</v>
      </c>
      <c r="S9" s="3">
        <f t="shared" si="3"/>
        <v>4</v>
      </c>
      <c r="T9" s="10">
        <f>R9*pellet_weigth!$B$3</f>
        <v>0.54136666666666644</v>
      </c>
      <c r="U9" s="3">
        <v>5.3417000000000003</v>
      </c>
      <c r="V9" s="3">
        <v>5.4987000000000004</v>
      </c>
      <c r="W9" s="3">
        <f t="shared" si="4"/>
        <v>0.15700000000000003</v>
      </c>
      <c r="X9" s="10">
        <f t="shared" si="5"/>
        <v>0.38436666666666641</v>
      </c>
      <c r="Y9" s="3" t="s">
        <v>163</v>
      </c>
      <c r="Z9" s="3">
        <v>8</v>
      </c>
      <c r="AB9" s="3" t="s">
        <v>162</v>
      </c>
      <c r="AC9" s="3" t="s">
        <v>0</v>
      </c>
      <c r="AD9" s="3">
        <v>21.62</v>
      </c>
      <c r="AE9" s="3">
        <v>7</v>
      </c>
      <c r="AF9" s="3">
        <v>8</v>
      </c>
      <c r="AG9" s="3">
        <v>2</v>
      </c>
      <c r="AH9" s="3">
        <v>2</v>
      </c>
    </row>
    <row r="10" spans="1:41" s="3" customFormat="1" x14ac:dyDescent="0.55000000000000004">
      <c r="A10" s="3" t="s">
        <v>190</v>
      </c>
      <c r="B10" s="3">
        <v>1</v>
      </c>
      <c r="C10" s="3">
        <v>9</v>
      </c>
      <c r="D10" s="3" t="s">
        <v>6</v>
      </c>
      <c r="E10" s="3" t="s">
        <v>164</v>
      </c>
      <c r="F10" s="2">
        <v>45937</v>
      </c>
      <c r="G10" s="11">
        <v>0.5</v>
      </c>
      <c r="H10" s="3">
        <v>2</v>
      </c>
      <c r="I10" s="3">
        <v>5</v>
      </c>
      <c r="K10" s="3">
        <v>5</v>
      </c>
      <c r="L10" s="3">
        <v>0</v>
      </c>
      <c r="M10" s="3">
        <f t="shared" si="0"/>
        <v>5</v>
      </c>
      <c r="N10" s="3">
        <v>0</v>
      </c>
      <c r="O10" s="3">
        <f t="shared" si="1"/>
        <v>0</v>
      </c>
      <c r="P10" s="3">
        <v>5</v>
      </c>
      <c r="Q10" s="3">
        <v>0</v>
      </c>
      <c r="R10" s="3">
        <f t="shared" si="2"/>
        <v>10</v>
      </c>
      <c r="S10" s="3">
        <f t="shared" si="3"/>
        <v>10</v>
      </c>
      <c r="T10" s="10">
        <f>R10*pellet_weigth!$B$3</f>
        <v>0.54136666666666644</v>
      </c>
      <c r="U10" s="3">
        <v>5.3342000000000001</v>
      </c>
      <c r="V10" s="3">
        <v>5.3574000000000002</v>
      </c>
      <c r="W10" s="3">
        <f t="shared" si="4"/>
        <v>2.3200000000000109E-2</v>
      </c>
      <c r="X10" s="10">
        <f t="shared" si="5"/>
        <v>0.51816666666666633</v>
      </c>
      <c r="Y10" s="3" t="s">
        <v>163</v>
      </c>
      <c r="Z10" s="3">
        <v>9</v>
      </c>
      <c r="AB10" s="3" t="s">
        <v>162</v>
      </c>
      <c r="AC10" s="3" t="s">
        <v>1</v>
      </c>
      <c r="AD10" s="3">
        <v>29.91</v>
      </c>
      <c r="AE10" s="3">
        <v>16</v>
      </c>
      <c r="AF10" s="3">
        <v>8</v>
      </c>
      <c r="AG10" s="3">
        <v>2</v>
      </c>
      <c r="AH10" s="3">
        <v>2</v>
      </c>
      <c r="AO10" s="3" t="s">
        <v>15</v>
      </c>
    </row>
    <row r="11" spans="1:41" s="3" customFormat="1" x14ac:dyDescent="0.55000000000000004">
      <c r="A11" s="3" t="s">
        <v>190</v>
      </c>
      <c r="B11" s="3">
        <v>1</v>
      </c>
      <c r="C11" s="3">
        <v>10</v>
      </c>
      <c r="D11" s="3" t="s">
        <v>13</v>
      </c>
      <c r="E11" s="3" t="s">
        <v>164</v>
      </c>
      <c r="F11" s="2">
        <v>45937</v>
      </c>
      <c r="G11" s="11">
        <v>0.5</v>
      </c>
      <c r="H11" s="3">
        <v>2</v>
      </c>
      <c r="I11" s="3">
        <v>5</v>
      </c>
      <c r="K11" s="3">
        <v>2</v>
      </c>
      <c r="L11" s="3">
        <v>5</v>
      </c>
      <c r="M11" s="3">
        <f t="shared" si="0"/>
        <v>10</v>
      </c>
      <c r="N11" s="3">
        <v>5</v>
      </c>
      <c r="O11" s="3">
        <f t="shared" si="1"/>
        <v>0.5</v>
      </c>
      <c r="P11" s="3">
        <v>0</v>
      </c>
      <c r="Q11" s="3">
        <v>2</v>
      </c>
      <c r="R11" s="3">
        <f t="shared" si="2"/>
        <v>10</v>
      </c>
      <c r="S11" s="3">
        <f t="shared" si="3"/>
        <v>8</v>
      </c>
      <c r="T11" s="10">
        <f>R11*pellet_weigth!$B$3</f>
        <v>0.54136666666666644</v>
      </c>
      <c r="U11" s="3">
        <v>5.2823000000000002</v>
      </c>
      <c r="V11" s="3">
        <v>5.3703000000000003</v>
      </c>
      <c r="W11" s="3">
        <f t="shared" si="4"/>
        <v>8.8000000000000078E-2</v>
      </c>
      <c r="X11" s="10">
        <f t="shared" si="5"/>
        <v>0.45336666666666636</v>
      </c>
      <c r="Y11" s="3" t="s">
        <v>163</v>
      </c>
      <c r="Z11" s="3">
        <v>10</v>
      </c>
      <c r="AA11" s="3">
        <v>10</v>
      </c>
      <c r="AB11" s="3" t="s">
        <v>162</v>
      </c>
      <c r="AC11" s="3" t="s">
        <v>1</v>
      </c>
      <c r="AD11" s="3">
        <v>26.41</v>
      </c>
      <c r="AE11" s="3">
        <v>12</v>
      </c>
      <c r="AF11" s="3">
        <v>6</v>
      </c>
      <c r="AG11" s="3">
        <v>2</v>
      </c>
      <c r="AH11" s="3">
        <v>2</v>
      </c>
    </row>
    <row r="12" spans="1:41" s="3" customFormat="1" x14ac:dyDescent="0.55000000000000004">
      <c r="A12" s="3" t="s">
        <v>190</v>
      </c>
      <c r="B12" s="3">
        <v>1</v>
      </c>
      <c r="C12" s="3">
        <v>11</v>
      </c>
      <c r="D12" s="3" t="s">
        <v>12</v>
      </c>
      <c r="E12" s="3" t="s">
        <v>164</v>
      </c>
      <c r="F12" s="2">
        <v>45937</v>
      </c>
      <c r="G12" s="11">
        <v>0.5</v>
      </c>
      <c r="H12" s="3">
        <v>2</v>
      </c>
      <c r="I12" s="3">
        <v>5</v>
      </c>
      <c r="K12" s="3">
        <v>5</v>
      </c>
      <c r="L12" s="3">
        <v>0</v>
      </c>
      <c r="M12" s="3">
        <f t="shared" si="0"/>
        <v>5</v>
      </c>
      <c r="N12" s="3">
        <v>5</v>
      </c>
      <c r="O12" s="3">
        <f t="shared" si="1"/>
        <v>1</v>
      </c>
      <c r="P12" s="3">
        <v>0</v>
      </c>
      <c r="Q12" s="3">
        <v>2.5</v>
      </c>
      <c r="R12" s="3">
        <f t="shared" si="2"/>
        <v>5</v>
      </c>
      <c r="S12" s="3">
        <f t="shared" si="3"/>
        <v>2.5</v>
      </c>
      <c r="T12" s="10">
        <f>R12*pellet_weigth!$B$3</f>
        <v>0.27068333333333322</v>
      </c>
      <c r="U12" s="3">
        <v>5.3769</v>
      </c>
      <c r="V12" s="3">
        <v>5.4090999999999996</v>
      </c>
      <c r="W12" s="3">
        <f t="shared" si="4"/>
        <v>3.2199999999999562E-2</v>
      </c>
      <c r="X12" s="10">
        <f t="shared" si="5"/>
        <v>0.23848333333333366</v>
      </c>
      <c r="Y12" s="3" t="s">
        <v>163</v>
      </c>
      <c r="Z12" s="3">
        <v>11</v>
      </c>
      <c r="AA12" s="3">
        <v>1</v>
      </c>
      <c r="AB12" s="3" t="s">
        <v>162</v>
      </c>
      <c r="AC12" s="3" t="s">
        <v>1</v>
      </c>
      <c r="AD12" s="3">
        <v>25.6</v>
      </c>
      <c r="AE12" s="3">
        <v>11</v>
      </c>
      <c r="AF12" s="3">
        <v>8</v>
      </c>
      <c r="AG12" s="3">
        <v>2</v>
      </c>
      <c r="AH12" s="3">
        <v>2</v>
      </c>
    </row>
    <row r="13" spans="1:41" s="3" customFormat="1" x14ac:dyDescent="0.55000000000000004">
      <c r="A13" s="3" t="s">
        <v>190</v>
      </c>
      <c r="B13" s="3">
        <v>1</v>
      </c>
      <c r="C13" s="3">
        <v>12</v>
      </c>
      <c r="D13" s="3" t="s">
        <v>6</v>
      </c>
      <c r="E13" s="3" t="s">
        <v>164</v>
      </c>
      <c r="F13" s="2">
        <v>45937</v>
      </c>
      <c r="G13" s="11">
        <v>0.5</v>
      </c>
      <c r="H13" s="3">
        <v>2</v>
      </c>
      <c r="I13" s="3">
        <v>5</v>
      </c>
      <c r="K13" s="3">
        <v>2</v>
      </c>
      <c r="L13" s="3">
        <v>5</v>
      </c>
      <c r="M13" s="3">
        <f t="shared" si="0"/>
        <v>10</v>
      </c>
      <c r="N13" s="3">
        <v>7</v>
      </c>
      <c r="O13" s="3">
        <f t="shared" si="1"/>
        <v>0.7</v>
      </c>
      <c r="P13" s="3">
        <v>0</v>
      </c>
      <c r="Q13" s="3">
        <v>1</v>
      </c>
      <c r="R13" s="3">
        <f t="shared" si="2"/>
        <v>10</v>
      </c>
      <c r="S13" s="3">
        <f t="shared" si="3"/>
        <v>9</v>
      </c>
      <c r="T13" s="10">
        <f>R13*pellet_weigth!$B$3</f>
        <v>0.54136666666666644</v>
      </c>
      <c r="U13" s="3">
        <v>5.2651000000000003</v>
      </c>
      <c r="V13" s="3">
        <v>5.3334999999999999</v>
      </c>
      <c r="W13" s="3">
        <f t="shared" si="4"/>
        <v>6.8399999999999572E-2</v>
      </c>
      <c r="X13" s="10">
        <f t="shared" si="5"/>
        <v>0.47296666666666687</v>
      </c>
      <c r="Y13" s="3" t="s">
        <v>163</v>
      </c>
      <c r="Z13" s="3">
        <v>12</v>
      </c>
      <c r="AA13" s="3">
        <v>20</v>
      </c>
      <c r="AB13" s="3" t="s">
        <v>162</v>
      </c>
      <c r="AC13" s="3" t="s">
        <v>1</v>
      </c>
      <c r="AD13" s="3">
        <v>24.06</v>
      </c>
      <c r="AE13" s="3">
        <v>10</v>
      </c>
      <c r="AF13" s="3">
        <v>8</v>
      </c>
      <c r="AG13" s="3">
        <v>2</v>
      </c>
      <c r="AH13" s="3">
        <v>2</v>
      </c>
    </row>
    <row r="14" spans="1:41" s="3" customFormat="1" x14ac:dyDescent="0.55000000000000004">
      <c r="A14" s="3" t="s">
        <v>190</v>
      </c>
      <c r="B14" s="3">
        <v>1</v>
      </c>
      <c r="C14" s="3">
        <v>13</v>
      </c>
      <c r="D14" s="3" t="s">
        <v>13</v>
      </c>
      <c r="E14" s="3" t="s">
        <v>164</v>
      </c>
      <c r="F14" s="2">
        <v>45937</v>
      </c>
      <c r="G14" s="11">
        <v>0.5</v>
      </c>
      <c r="H14" s="3">
        <v>2</v>
      </c>
      <c r="I14" s="3">
        <v>5</v>
      </c>
      <c r="K14" s="3">
        <v>5</v>
      </c>
      <c r="L14" s="3">
        <v>0</v>
      </c>
      <c r="M14" s="3">
        <f t="shared" si="0"/>
        <v>5</v>
      </c>
      <c r="N14" s="3">
        <v>5</v>
      </c>
      <c r="O14" s="3">
        <f t="shared" si="1"/>
        <v>1</v>
      </c>
      <c r="P14" s="3">
        <v>0</v>
      </c>
      <c r="Q14" s="3">
        <v>0.5</v>
      </c>
      <c r="R14" s="3">
        <f t="shared" si="2"/>
        <v>5</v>
      </c>
      <c r="S14" s="3">
        <f t="shared" si="3"/>
        <v>4.5</v>
      </c>
      <c r="T14" s="10">
        <f>R14*pellet_weigth!$B$3</f>
        <v>0.27068333333333322</v>
      </c>
      <c r="U14" s="3">
        <v>5.3407999999999998</v>
      </c>
      <c r="V14" s="3">
        <v>5.3845999999999998</v>
      </c>
      <c r="W14" s="3">
        <f t="shared" si="4"/>
        <v>4.3800000000000061E-2</v>
      </c>
      <c r="X14" s="10">
        <f t="shared" si="5"/>
        <v>0.22688333333333316</v>
      </c>
      <c r="Y14" s="3" t="s">
        <v>163</v>
      </c>
      <c r="Z14" s="3">
        <v>13</v>
      </c>
      <c r="AA14" s="3">
        <v>8</v>
      </c>
      <c r="AB14" s="3" t="s">
        <v>162</v>
      </c>
      <c r="AC14" s="3" t="s">
        <v>1</v>
      </c>
      <c r="AD14" s="3">
        <v>29.75</v>
      </c>
      <c r="AE14" s="3">
        <v>17</v>
      </c>
      <c r="AF14" s="3">
        <v>8</v>
      </c>
      <c r="AG14" s="3">
        <v>2</v>
      </c>
      <c r="AH14" s="3">
        <v>2</v>
      </c>
    </row>
    <row r="15" spans="1:41" s="3" customFormat="1" x14ac:dyDescent="0.55000000000000004">
      <c r="A15" s="3" t="s">
        <v>190</v>
      </c>
      <c r="B15" s="3">
        <v>1</v>
      </c>
      <c r="C15" s="3">
        <v>14</v>
      </c>
      <c r="D15" s="3" t="s">
        <v>12</v>
      </c>
      <c r="E15" s="3" t="s">
        <v>164</v>
      </c>
      <c r="F15" s="2">
        <v>45937</v>
      </c>
      <c r="G15" s="11">
        <v>0.5</v>
      </c>
      <c r="H15" s="3">
        <v>2</v>
      </c>
      <c r="I15" s="3">
        <v>5</v>
      </c>
      <c r="K15" s="3">
        <v>5</v>
      </c>
      <c r="L15" s="3">
        <v>0</v>
      </c>
      <c r="M15" s="3">
        <f t="shared" si="0"/>
        <v>5</v>
      </c>
      <c r="N15" s="3">
        <v>5</v>
      </c>
      <c r="O15" s="3">
        <f t="shared" si="1"/>
        <v>1</v>
      </c>
      <c r="P15" s="3">
        <v>0</v>
      </c>
      <c r="Q15" s="3">
        <v>0.5</v>
      </c>
      <c r="R15" s="3">
        <f t="shared" si="2"/>
        <v>5</v>
      </c>
      <c r="S15" s="3">
        <f t="shared" si="3"/>
        <v>4.5</v>
      </c>
      <c r="T15" s="10">
        <f>R15*pellet_weigth!$B$3</f>
        <v>0.27068333333333322</v>
      </c>
      <c r="U15" s="3">
        <v>5.335</v>
      </c>
      <c r="V15" s="3">
        <v>5.3742999999999999</v>
      </c>
      <c r="W15" s="3">
        <f t="shared" si="4"/>
        <v>3.9299999999999891E-2</v>
      </c>
      <c r="X15" s="10">
        <f t="shared" si="5"/>
        <v>0.23138333333333333</v>
      </c>
      <c r="Y15" s="3" t="s">
        <v>163</v>
      </c>
      <c r="Z15" s="3">
        <v>14</v>
      </c>
      <c r="AA15" s="3">
        <v>38</v>
      </c>
      <c r="AB15" s="3" t="s">
        <v>162</v>
      </c>
      <c r="AC15" s="3" t="s">
        <v>0</v>
      </c>
      <c r="AD15" s="3">
        <v>19.899999999999999</v>
      </c>
      <c r="AE15" s="3">
        <v>5</v>
      </c>
      <c r="AF15" s="3">
        <v>5</v>
      </c>
      <c r="AG15" s="3">
        <v>0</v>
      </c>
      <c r="AH15" s="3">
        <v>0</v>
      </c>
      <c r="AI15" s="3">
        <v>21.24</v>
      </c>
      <c r="AJ15" s="3">
        <v>5</v>
      </c>
      <c r="AK15" s="3">
        <v>5</v>
      </c>
      <c r="AL15" s="3">
        <v>0</v>
      </c>
      <c r="AM15" s="3">
        <v>0</v>
      </c>
      <c r="AN15" s="12">
        <v>45939</v>
      </c>
      <c r="AO15" s="3" t="s">
        <v>15</v>
      </c>
    </row>
    <row r="16" spans="1:41" s="3" customFormat="1" x14ac:dyDescent="0.55000000000000004">
      <c r="A16" s="3" t="s">
        <v>190</v>
      </c>
      <c r="B16" s="3">
        <v>1</v>
      </c>
      <c r="C16" s="3">
        <v>15</v>
      </c>
      <c r="D16" s="3" t="s">
        <v>6</v>
      </c>
      <c r="E16" s="3" t="s">
        <v>164</v>
      </c>
      <c r="F16" s="2">
        <v>45937</v>
      </c>
      <c r="G16" s="11">
        <v>0.5</v>
      </c>
      <c r="H16" s="3">
        <v>2</v>
      </c>
      <c r="I16" s="3">
        <v>5</v>
      </c>
      <c r="K16" s="3">
        <v>2</v>
      </c>
      <c r="L16" s="3">
        <v>5</v>
      </c>
      <c r="M16" s="3">
        <f t="shared" si="0"/>
        <v>10</v>
      </c>
      <c r="N16" s="3">
        <v>7</v>
      </c>
      <c r="O16" s="3">
        <f t="shared" si="1"/>
        <v>0.7</v>
      </c>
      <c r="P16" s="3">
        <v>0</v>
      </c>
      <c r="Q16" s="3">
        <v>1</v>
      </c>
      <c r="R16" s="3">
        <f t="shared" si="2"/>
        <v>10</v>
      </c>
      <c r="S16" s="3">
        <f t="shared" si="3"/>
        <v>9</v>
      </c>
      <c r="T16" s="10">
        <f>R16*pellet_weigth!$B$3</f>
        <v>0.54136666666666644</v>
      </c>
      <c r="U16" s="3">
        <v>5.3906000000000001</v>
      </c>
      <c r="V16" s="3">
        <v>5.5160999999999998</v>
      </c>
      <c r="W16" s="3">
        <f t="shared" si="4"/>
        <v>0.12549999999999972</v>
      </c>
      <c r="X16" s="10">
        <f t="shared" si="5"/>
        <v>0.41586666666666672</v>
      </c>
      <c r="Y16" s="3" t="s">
        <v>163</v>
      </c>
      <c r="Z16" s="3">
        <v>15</v>
      </c>
      <c r="AB16" s="3" t="s">
        <v>162</v>
      </c>
      <c r="AC16" s="3" t="s">
        <v>0</v>
      </c>
      <c r="AD16" s="3">
        <v>20.73</v>
      </c>
      <c r="AE16" s="3">
        <v>5</v>
      </c>
      <c r="AF16" s="3">
        <v>8</v>
      </c>
      <c r="AG16" s="3">
        <v>2</v>
      </c>
      <c r="AH16" s="3">
        <v>2</v>
      </c>
    </row>
    <row r="17" spans="1:40" s="3" customFormat="1" x14ac:dyDescent="0.55000000000000004">
      <c r="A17" s="3" t="s">
        <v>190</v>
      </c>
      <c r="B17" s="3">
        <v>1</v>
      </c>
      <c r="C17" s="3">
        <v>16</v>
      </c>
      <c r="D17" s="3" t="s">
        <v>13</v>
      </c>
      <c r="E17" s="3" t="s">
        <v>164</v>
      </c>
      <c r="F17" s="2">
        <v>45937</v>
      </c>
      <c r="G17" s="11">
        <v>0.5</v>
      </c>
      <c r="H17" s="3">
        <v>2</v>
      </c>
      <c r="I17" s="3">
        <v>5</v>
      </c>
      <c r="K17" s="3">
        <v>1</v>
      </c>
      <c r="L17" s="3">
        <v>5</v>
      </c>
      <c r="M17" s="3">
        <f t="shared" si="0"/>
        <v>10</v>
      </c>
      <c r="N17" s="3">
        <v>6</v>
      </c>
      <c r="O17" s="3">
        <f t="shared" si="1"/>
        <v>0.6</v>
      </c>
      <c r="P17" s="3">
        <v>0</v>
      </c>
      <c r="Q17" s="3">
        <v>0</v>
      </c>
      <c r="R17" s="3">
        <f t="shared" si="2"/>
        <v>10</v>
      </c>
      <c r="S17" s="3">
        <f t="shared" si="3"/>
        <v>10</v>
      </c>
      <c r="T17" s="10">
        <f>R17*pellet_weigth!$B$3</f>
        <v>0.54136666666666644</v>
      </c>
      <c r="U17" s="3">
        <v>5.3566000000000003</v>
      </c>
      <c r="V17" s="3">
        <v>5.4272999999999998</v>
      </c>
      <c r="W17" s="3">
        <f t="shared" si="4"/>
        <v>7.0699999999999541E-2</v>
      </c>
      <c r="X17" s="10">
        <f t="shared" si="5"/>
        <v>0.4706666666666669</v>
      </c>
      <c r="Y17" s="3" t="s">
        <v>163</v>
      </c>
      <c r="Z17" s="3">
        <v>16</v>
      </c>
      <c r="AA17" s="3">
        <v>4</v>
      </c>
      <c r="AB17" s="3" t="s">
        <v>162</v>
      </c>
      <c r="AC17" s="3" t="s">
        <v>1</v>
      </c>
      <c r="AD17" s="3">
        <v>26.88</v>
      </c>
      <c r="AE17" s="3">
        <v>14</v>
      </c>
      <c r="AF17" s="3">
        <v>8</v>
      </c>
      <c r="AG17" s="3">
        <v>2</v>
      </c>
      <c r="AH17" s="3">
        <v>2</v>
      </c>
      <c r="AI17" s="9"/>
    </row>
    <row r="18" spans="1:40" x14ac:dyDescent="0.55000000000000004">
      <c r="A18" t="s">
        <v>190</v>
      </c>
      <c r="B18">
        <v>2</v>
      </c>
      <c r="C18">
        <v>1</v>
      </c>
      <c r="D18" t="s">
        <v>12</v>
      </c>
      <c r="E18" t="s">
        <v>155</v>
      </c>
      <c r="F18" s="2">
        <v>45953</v>
      </c>
      <c r="G18" s="8">
        <v>0.45833333333333331</v>
      </c>
      <c r="H18">
        <v>0</v>
      </c>
      <c r="I18">
        <v>10</v>
      </c>
      <c r="J18">
        <v>0.47839999999999999</v>
      </c>
      <c r="M18">
        <f t="shared" si="0"/>
        <v>10</v>
      </c>
      <c r="N18">
        <v>9.5</v>
      </c>
      <c r="O18">
        <f t="shared" si="1"/>
        <v>0.95</v>
      </c>
      <c r="R18">
        <f t="shared" si="2"/>
        <v>10</v>
      </c>
      <c r="S18">
        <f t="shared" ref="S18:S65" si="6">R18-N18</f>
        <v>0.5</v>
      </c>
      <c r="Z18">
        <v>17</v>
      </c>
      <c r="AA18">
        <v>23</v>
      </c>
      <c r="AB18" t="s">
        <v>1</v>
      </c>
      <c r="AC18" t="s">
        <v>1</v>
      </c>
      <c r="AD18">
        <v>24.15</v>
      </c>
      <c r="AE18">
        <v>8</v>
      </c>
      <c r="AF18">
        <v>4</v>
      </c>
      <c r="AG18">
        <v>2</v>
      </c>
      <c r="AH18">
        <v>2</v>
      </c>
    </row>
    <row r="19" spans="1:40" x14ac:dyDescent="0.55000000000000004">
      <c r="A19" t="s">
        <v>190</v>
      </c>
      <c r="B19">
        <v>2</v>
      </c>
      <c r="C19">
        <v>2</v>
      </c>
      <c r="D19" t="s">
        <v>6</v>
      </c>
      <c r="E19" t="s">
        <v>155</v>
      </c>
      <c r="F19" s="2">
        <v>45953</v>
      </c>
      <c r="G19" s="8">
        <v>0.45833333333333331</v>
      </c>
      <c r="H19">
        <v>0</v>
      </c>
      <c r="I19">
        <v>10</v>
      </c>
      <c r="J19">
        <v>0.4506</v>
      </c>
      <c r="M19">
        <f t="shared" si="0"/>
        <v>10</v>
      </c>
      <c r="N19">
        <v>10</v>
      </c>
      <c r="O19">
        <f t="shared" si="1"/>
        <v>1</v>
      </c>
      <c r="R19">
        <f t="shared" si="2"/>
        <v>10</v>
      </c>
      <c r="S19">
        <f t="shared" si="6"/>
        <v>0</v>
      </c>
      <c r="Z19">
        <v>19</v>
      </c>
      <c r="AA19">
        <v>17</v>
      </c>
      <c r="AB19" t="s">
        <v>162</v>
      </c>
      <c r="AC19" t="s">
        <v>1</v>
      </c>
      <c r="AD19">
        <v>25.35</v>
      </c>
      <c r="AE19">
        <v>12</v>
      </c>
      <c r="AF19">
        <v>7</v>
      </c>
      <c r="AG19">
        <v>2</v>
      </c>
      <c r="AH19">
        <v>2</v>
      </c>
    </row>
    <row r="20" spans="1:40" x14ac:dyDescent="0.55000000000000004">
      <c r="A20" t="s">
        <v>190</v>
      </c>
      <c r="B20">
        <v>2</v>
      </c>
      <c r="C20">
        <v>3</v>
      </c>
      <c r="D20" t="s">
        <v>13</v>
      </c>
      <c r="E20" t="s">
        <v>155</v>
      </c>
      <c r="F20" s="2">
        <v>45953</v>
      </c>
      <c r="G20" s="8">
        <v>0.45833333333333298</v>
      </c>
      <c r="H20">
        <v>0</v>
      </c>
      <c r="I20">
        <v>10</v>
      </c>
      <c r="J20">
        <v>0.47849999999999998</v>
      </c>
      <c r="M20">
        <f t="shared" si="0"/>
        <v>10</v>
      </c>
      <c r="N20">
        <v>9</v>
      </c>
      <c r="O20">
        <f t="shared" si="1"/>
        <v>0.9</v>
      </c>
      <c r="R20">
        <f t="shared" si="2"/>
        <v>10</v>
      </c>
      <c r="S20">
        <f t="shared" si="6"/>
        <v>1</v>
      </c>
      <c r="Z20">
        <v>20</v>
      </c>
      <c r="AA20">
        <v>14</v>
      </c>
      <c r="AB20" t="s">
        <v>162</v>
      </c>
      <c r="AC20" t="s">
        <v>1</v>
      </c>
      <c r="AD20">
        <v>26.52</v>
      </c>
      <c r="AE20">
        <v>11</v>
      </c>
      <c r="AF20">
        <v>8</v>
      </c>
      <c r="AG20">
        <v>2</v>
      </c>
      <c r="AH20">
        <v>2</v>
      </c>
    </row>
    <row r="21" spans="1:40" x14ac:dyDescent="0.55000000000000004">
      <c r="A21" t="s">
        <v>190</v>
      </c>
      <c r="B21">
        <v>2</v>
      </c>
      <c r="C21">
        <v>4</v>
      </c>
      <c r="D21" t="s">
        <v>12</v>
      </c>
      <c r="E21" t="s">
        <v>155</v>
      </c>
      <c r="F21" s="2">
        <v>45953</v>
      </c>
      <c r="G21" s="8">
        <v>0.45833333333333298</v>
      </c>
      <c r="H21">
        <v>0</v>
      </c>
      <c r="I21">
        <v>10</v>
      </c>
      <c r="J21">
        <v>0.4909</v>
      </c>
      <c r="M21">
        <f t="shared" si="0"/>
        <v>10</v>
      </c>
      <c r="N21">
        <v>10</v>
      </c>
      <c r="O21">
        <f t="shared" si="1"/>
        <v>1</v>
      </c>
      <c r="R21">
        <f t="shared" si="2"/>
        <v>10</v>
      </c>
      <c r="S21">
        <f t="shared" si="6"/>
        <v>0</v>
      </c>
      <c r="Z21">
        <v>21</v>
      </c>
      <c r="AB21" t="s">
        <v>1</v>
      </c>
      <c r="AC21" t="s">
        <v>1</v>
      </c>
      <c r="AD21">
        <v>25.39</v>
      </c>
      <c r="AE21">
        <v>9</v>
      </c>
      <c r="AF21">
        <v>7</v>
      </c>
      <c r="AG21">
        <v>2</v>
      </c>
      <c r="AH21">
        <v>2</v>
      </c>
      <c r="AN21" t="s">
        <v>161</v>
      </c>
    </row>
    <row r="22" spans="1:40" x14ac:dyDescent="0.55000000000000004">
      <c r="A22" t="s">
        <v>190</v>
      </c>
      <c r="B22">
        <v>2</v>
      </c>
      <c r="C22">
        <v>5</v>
      </c>
      <c r="D22" t="s">
        <v>6</v>
      </c>
      <c r="E22" t="s">
        <v>155</v>
      </c>
      <c r="F22" s="2">
        <v>45953</v>
      </c>
      <c r="G22" s="8">
        <v>0.45833333333333298</v>
      </c>
      <c r="H22">
        <v>0</v>
      </c>
      <c r="I22">
        <v>10</v>
      </c>
      <c r="J22">
        <v>0.47770000000000001</v>
      </c>
      <c r="M22">
        <f t="shared" si="0"/>
        <v>10</v>
      </c>
      <c r="N22">
        <v>8</v>
      </c>
      <c r="O22">
        <f t="shared" si="1"/>
        <v>0.8</v>
      </c>
      <c r="R22">
        <f t="shared" si="2"/>
        <v>10</v>
      </c>
      <c r="S22">
        <f t="shared" si="6"/>
        <v>2</v>
      </c>
      <c r="Z22">
        <v>22</v>
      </c>
      <c r="AB22" t="s">
        <v>1</v>
      </c>
      <c r="AC22" t="s">
        <v>1</v>
      </c>
      <c r="AD22">
        <v>28.55</v>
      </c>
      <c r="AE22">
        <v>17</v>
      </c>
      <c r="AF22">
        <v>8</v>
      </c>
      <c r="AG22">
        <v>2</v>
      </c>
      <c r="AH22">
        <v>2</v>
      </c>
    </row>
    <row r="23" spans="1:40" x14ac:dyDescent="0.55000000000000004">
      <c r="A23" t="s">
        <v>190</v>
      </c>
      <c r="B23">
        <v>2</v>
      </c>
      <c r="C23">
        <v>6</v>
      </c>
      <c r="D23" t="s">
        <v>13</v>
      </c>
      <c r="E23" t="s">
        <v>155</v>
      </c>
      <c r="F23" s="2">
        <v>45953</v>
      </c>
      <c r="G23" s="8">
        <v>0.45833333333333298</v>
      </c>
      <c r="H23">
        <v>0</v>
      </c>
      <c r="I23">
        <v>10</v>
      </c>
      <c r="J23">
        <v>0.47989999999999999</v>
      </c>
      <c r="M23">
        <f t="shared" si="0"/>
        <v>10</v>
      </c>
      <c r="N23">
        <v>10</v>
      </c>
      <c r="O23">
        <f t="shared" si="1"/>
        <v>1</v>
      </c>
      <c r="R23">
        <f t="shared" si="2"/>
        <v>10</v>
      </c>
      <c r="S23">
        <f t="shared" si="6"/>
        <v>0</v>
      </c>
      <c r="Z23">
        <v>23</v>
      </c>
      <c r="AA23">
        <v>9</v>
      </c>
      <c r="AB23" t="s">
        <v>1</v>
      </c>
      <c r="AC23" t="s">
        <v>1</v>
      </c>
      <c r="AD23">
        <v>24.46</v>
      </c>
      <c r="AE23">
        <v>10</v>
      </c>
      <c r="AF23">
        <v>8</v>
      </c>
      <c r="AG23">
        <v>2</v>
      </c>
      <c r="AH23">
        <v>2</v>
      </c>
    </row>
    <row r="24" spans="1:40" x14ac:dyDescent="0.55000000000000004">
      <c r="A24" t="s">
        <v>190</v>
      </c>
      <c r="B24">
        <v>2</v>
      </c>
      <c r="C24">
        <v>7</v>
      </c>
      <c r="D24" t="s">
        <v>12</v>
      </c>
      <c r="E24" t="s">
        <v>155</v>
      </c>
      <c r="F24" s="2">
        <v>45953</v>
      </c>
      <c r="G24" s="8">
        <v>0.45833333333333298</v>
      </c>
      <c r="H24">
        <v>0</v>
      </c>
      <c r="I24">
        <v>10</v>
      </c>
      <c r="J24">
        <v>0.46079999999999999</v>
      </c>
      <c r="M24">
        <f t="shared" si="0"/>
        <v>10</v>
      </c>
      <c r="N24">
        <v>10</v>
      </c>
      <c r="O24">
        <f t="shared" si="1"/>
        <v>1</v>
      </c>
      <c r="R24">
        <f t="shared" si="2"/>
        <v>10</v>
      </c>
      <c r="S24">
        <f t="shared" si="6"/>
        <v>0</v>
      </c>
      <c r="Z24">
        <v>24</v>
      </c>
      <c r="AB24" t="s">
        <v>1</v>
      </c>
      <c r="AC24" t="s">
        <v>1</v>
      </c>
      <c r="AD24">
        <v>28.59</v>
      </c>
      <c r="AE24">
        <v>15</v>
      </c>
      <c r="AF24">
        <v>8</v>
      </c>
      <c r="AG24">
        <v>1</v>
      </c>
      <c r="AH24">
        <v>2</v>
      </c>
    </row>
    <row r="25" spans="1:40" x14ac:dyDescent="0.55000000000000004">
      <c r="A25" t="s">
        <v>190</v>
      </c>
      <c r="B25">
        <v>2</v>
      </c>
      <c r="C25">
        <v>8</v>
      </c>
      <c r="D25" t="s">
        <v>6</v>
      </c>
      <c r="E25" t="s">
        <v>155</v>
      </c>
      <c r="F25" s="2">
        <v>45953</v>
      </c>
      <c r="G25" s="8">
        <v>0.45833333333333298</v>
      </c>
      <c r="H25">
        <v>0</v>
      </c>
      <c r="I25">
        <v>10</v>
      </c>
      <c r="J25">
        <v>0.46360000000000001</v>
      </c>
      <c r="M25">
        <f t="shared" si="0"/>
        <v>10</v>
      </c>
      <c r="N25">
        <v>9.5</v>
      </c>
      <c r="O25">
        <f t="shared" si="1"/>
        <v>0.95</v>
      </c>
      <c r="R25">
        <f t="shared" si="2"/>
        <v>10</v>
      </c>
      <c r="S25">
        <f t="shared" si="6"/>
        <v>0.5</v>
      </c>
      <c r="Z25">
        <v>25</v>
      </c>
      <c r="AA25">
        <v>30</v>
      </c>
      <c r="AB25" t="s">
        <v>1</v>
      </c>
      <c r="AC25" t="s">
        <v>1</v>
      </c>
      <c r="AD25">
        <v>26.55</v>
      </c>
      <c r="AE25">
        <v>13</v>
      </c>
      <c r="AF25">
        <v>7</v>
      </c>
      <c r="AG25">
        <v>2</v>
      </c>
      <c r="AH25">
        <v>2</v>
      </c>
    </row>
    <row r="26" spans="1:40" x14ac:dyDescent="0.55000000000000004">
      <c r="A26" t="s">
        <v>190</v>
      </c>
      <c r="B26">
        <v>2</v>
      </c>
      <c r="C26">
        <v>9</v>
      </c>
      <c r="D26" t="s">
        <v>13</v>
      </c>
      <c r="E26" t="s">
        <v>155</v>
      </c>
      <c r="F26" s="2">
        <v>45953</v>
      </c>
      <c r="G26" s="8">
        <v>0.45833333333333298</v>
      </c>
      <c r="H26">
        <v>0</v>
      </c>
      <c r="I26">
        <v>10</v>
      </c>
      <c r="J26">
        <v>0.50549999999999995</v>
      </c>
      <c r="M26">
        <f t="shared" si="0"/>
        <v>10</v>
      </c>
      <c r="N26">
        <v>10</v>
      </c>
      <c r="O26">
        <f t="shared" si="1"/>
        <v>1</v>
      </c>
      <c r="R26">
        <f t="shared" si="2"/>
        <v>10</v>
      </c>
      <c r="S26">
        <f t="shared" si="6"/>
        <v>0</v>
      </c>
      <c r="Z26">
        <v>26</v>
      </c>
      <c r="AB26" t="s">
        <v>1</v>
      </c>
      <c r="AC26" t="s">
        <v>1</v>
      </c>
      <c r="AD26">
        <v>23.62</v>
      </c>
      <c r="AE26">
        <v>8</v>
      </c>
      <c r="AF26">
        <v>8</v>
      </c>
      <c r="AG26">
        <v>2</v>
      </c>
      <c r="AH26">
        <v>2</v>
      </c>
      <c r="AN26" t="s">
        <v>160</v>
      </c>
    </row>
    <row r="27" spans="1:40" x14ac:dyDescent="0.55000000000000004">
      <c r="A27" t="s">
        <v>190</v>
      </c>
      <c r="B27">
        <v>2</v>
      </c>
      <c r="C27">
        <v>10</v>
      </c>
      <c r="D27" t="s">
        <v>12</v>
      </c>
      <c r="E27" t="s">
        <v>155</v>
      </c>
      <c r="F27" s="2">
        <v>45953</v>
      </c>
      <c r="G27" s="8">
        <v>0.45833333333333298</v>
      </c>
      <c r="H27">
        <v>0</v>
      </c>
      <c r="I27">
        <v>10</v>
      </c>
      <c r="J27">
        <v>0.51680000000000004</v>
      </c>
      <c r="M27">
        <f t="shared" si="0"/>
        <v>10</v>
      </c>
      <c r="N27">
        <v>10</v>
      </c>
      <c r="O27">
        <f t="shared" si="1"/>
        <v>1</v>
      </c>
      <c r="R27">
        <f t="shared" si="2"/>
        <v>10</v>
      </c>
      <c r="S27">
        <f t="shared" si="6"/>
        <v>0</v>
      </c>
      <c r="Z27">
        <v>28</v>
      </c>
      <c r="AB27" t="s">
        <v>1</v>
      </c>
      <c r="AC27" t="s">
        <v>1</v>
      </c>
      <c r="AD27">
        <v>29.36</v>
      </c>
      <c r="AE27">
        <v>17</v>
      </c>
      <c r="AF27">
        <v>7</v>
      </c>
      <c r="AG27">
        <v>2</v>
      </c>
      <c r="AH27">
        <v>2</v>
      </c>
    </row>
    <row r="28" spans="1:40" x14ac:dyDescent="0.55000000000000004">
      <c r="A28" t="s">
        <v>190</v>
      </c>
      <c r="B28">
        <v>2</v>
      </c>
      <c r="C28">
        <v>11</v>
      </c>
      <c r="D28" t="s">
        <v>6</v>
      </c>
      <c r="E28" t="s">
        <v>155</v>
      </c>
      <c r="F28" s="2">
        <v>45953</v>
      </c>
      <c r="G28" s="8">
        <v>0.45833333333333298</v>
      </c>
      <c r="H28">
        <v>0</v>
      </c>
      <c r="I28">
        <v>10</v>
      </c>
      <c r="J28">
        <v>0.47489999999999999</v>
      </c>
      <c r="M28">
        <f t="shared" si="0"/>
        <v>10</v>
      </c>
      <c r="N28">
        <v>10</v>
      </c>
      <c r="O28">
        <f t="shared" si="1"/>
        <v>1</v>
      </c>
      <c r="R28">
        <f t="shared" si="2"/>
        <v>10</v>
      </c>
      <c r="S28">
        <f t="shared" si="6"/>
        <v>0</v>
      </c>
      <c r="Z28">
        <v>29</v>
      </c>
      <c r="AA28">
        <v>11</v>
      </c>
      <c r="AB28" t="s">
        <v>1</v>
      </c>
      <c r="AC28" t="s">
        <v>1</v>
      </c>
      <c r="AD28">
        <v>29.46</v>
      </c>
      <c r="AE28">
        <v>17</v>
      </c>
      <c r="AF28">
        <v>8</v>
      </c>
      <c r="AG28">
        <v>2</v>
      </c>
      <c r="AH28">
        <v>2</v>
      </c>
    </row>
    <row r="29" spans="1:40" x14ac:dyDescent="0.55000000000000004">
      <c r="A29" t="s">
        <v>190</v>
      </c>
      <c r="B29">
        <v>2</v>
      </c>
      <c r="C29">
        <v>12</v>
      </c>
      <c r="D29" t="s">
        <v>13</v>
      </c>
      <c r="E29" t="s">
        <v>155</v>
      </c>
      <c r="F29" s="2">
        <v>45953</v>
      </c>
      <c r="G29" s="8">
        <v>0.45833333333333298</v>
      </c>
      <c r="H29">
        <v>0</v>
      </c>
      <c r="I29">
        <v>10</v>
      </c>
      <c r="J29">
        <v>0.50090000000000001</v>
      </c>
      <c r="M29">
        <f t="shared" si="0"/>
        <v>10</v>
      </c>
      <c r="N29">
        <v>10</v>
      </c>
      <c r="O29">
        <f t="shared" si="1"/>
        <v>1</v>
      </c>
      <c r="R29">
        <f t="shared" si="2"/>
        <v>10</v>
      </c>
      <c r="S29">
        <f t="shared" si="6"/>
        <v>0</v>
      </c>
      <c r="Z29">
        <v>32</v>
      </c>
      <c r="AA29">
        <v>13</v>
      </c>
      <c r="AB29" t="s">
        <v>1</v>
      </c>
      <c r="AC29" t="s">
        <v>1</v>
      </c>
      <c r="AD29">
        <v>23.96</v>
      </c>
      <c r="AE29">
        <v>8</v>
      </c>
      <c r="AF29">
        <v>6</v>
      </c>
      <c r="AG29">
        <v>2</v>
      </c>
      <c r="AH29">
        <v>2</v>
      </c>
    </row>
    <row r="30" spans="1:40" x14ac:dyDescent="0.55000000000000004">
      <c r="A30" t="s">
        <v>190</v>
      </c>
      <c r="B30">
        <v>2</v>
      </c>
      <c r="C30">
        <v>13</v>
      </c>
      <c r="D30" t="s">
        <v>12</v>
      </c>
      <c r="E30" t="s">
        <v>155</v>
      </c>
      <c r="F30" s="2">
        <v>45953</v>
      </c>
      <c r="G30" s="8">
        <v>0.45833333333333298</v>
      </c>
      <c r="H30">
        <v>0</v>
      </c>
      <c r="I30">
        <v>10</v>
      </c>
      <c r="J30">
        <v>0.52549999999999997</v>
      </c>
      <c r="M30">
        <f t="shared" si="0"/>
        <v>10</v>
      </c>
      <c r="N30">
        <v>10</v>
      </c>
      <c r="O30">
        <f t="shared" si="1"/>
        <v>1</v>
      </c>
      <c r="R30">
        <f t="shared" si="2"/>
        <v>10</v>
      </c>
      <c r="S30">
        <f t="shared" si="6"/>
        <v>0</v>
      </c>
      <c r="Z30">
        <v>33</v>
      </c>
      <c r="AB30" t="s">
        <v>1</v>
      </c>
      <c r="AC30" t="s">
        <v>1</v>
      </c>
      <c r="AD30">
        <v>24.83</v>
      </c>
      <c r="AE30">
        <v>10</v>
      </c>
      <c r="AF30">
        <v>8</v>
      </c>
      <c r="AG30">
        <v>2</v>
      </c>
      <c r="AH30">
        <v>2</v>
      </c>
    </row>
    <row r="31" spans="1:40" x14ac:dyDescent="0.55000000000000004">
      <c r="A31" t="s">
        <v>190</v>
      </c>
      <c r="B31">
        <v>2</v>
      </c>
      <c r="C31">
        <v>14</v>
      </c>
      <c r="D31" t="s">
        <v>6</v>
      </c>
      <c r="E31" t="s">
        <v>155</v>
      </c>
      <c r="F31" s="2">
        <v>45953</v>
      </c>
      <c r="G31" s="8">
        <v>0.45833333333333298</v>
      </c>
      <c r="H31">
        <v>0</v>
      </c>
      <c r="I31">
        <v>10</v>
      </c>
      <c r="J31">
        <v>0.49430000000000002</v>
      </c>
      <c r="M31">
        <f t="shared" si="0"/>
        <v>10</v>
      </c>
      <c r="N31">
        <v>10</v>
      </c>
      <c r="O31">
        <f t="shared" si="1"/>
        <v>1</v>
      </c>
      <c r="R31">
        <f t="shared" si="2"/>
        <v>10</v>
      </c>
      <c r="S31">
        <f t="shared" si="6"/>
        <v>0</v>
      </c>
      <c r="Z31">
        <v>35</v>
      </c>
      <c r="AB31" t="s">
        <v>1</v>
      </c>
      <c r="AC31" t="s">
        <v>1</v>
      </c>
      <c r="AD31">
        <v>28.52</v>
      </c>
      <c r="AE31">
        <v>14</v>
      </c>
      <c r="AF31">
        <v>5</v>
      </c>
      <c r="AG31">
        <v>2</v>
      </c>
      <c r="AH31">
        <v>2</v>
      </c>
    </row>
    <row r="32" spans="1:40" x14ac:dyDescent="0.55000000000000004">
      <c r="A32" t="s">
        <v>190</v>
      </c>
      <c r="B32">
        <v>2</v>
      </c>
      <c r="C32">
        <v>15</v>
      </c>
      <c r="D32" t="s">
        <v>13</v>
      </c>
      <c r="E32" t="s">
        <v>155</v>
      </c>
      <c r="F32" s="2">
        <v>45953</v>
      </c>
      <c r="G32" s="8">
        <v>0.45833333333333298</v>
      </c>
      <c r="H32">
        <v>0</v>
      </c>
      <c r="I32">
        <v>10</v>
      </c>
      <c r="J32">
        <v>0.52490000000000003</v>
      </c>
      <c r="M32">
        <f t="shared" si="0"/>
        <v>10</v>
      </c>
      <c r="N32">
        <v>10</v>
      </c>
      <c r="O32">
        <f t="shared" si="1"/>
        <v>1</v>
      </c>
      <c r="R32">
        <f t="shared" si="2"/>
        <v>10</v>
      </c>
      <c r="S32">
        <f t="shared" si="6"/>
        <v>0</v>
      </c>
      <c r="Z32">
        <v>37</v>
      </c>
      <c r="AB32" t="s">
        <v>1</v>
      </c>
      <c r="AC32" t="s">
        <v>1</v>
      </c>
      <c r="AD32">
        <v>26.6</v>
      </c>
      <c r="AE32">
        <v>13</v>
      </c>
      <c r="AF32">
        <v>8</v>
      </c>
      <c r="AG32">
        <v>2</v>
      </c>
      <c r="AH32">
        <v>2</v>
      </c>
    </row>
    <row r="33" spans="1:34" x14ac:dyDescent="0.55000000000000004">
      <c r="A33" t="s">
        <v>190</v>
      </c>
      <c r="B33">
        <v>2</v>
      </c>
      <c r="C33">
        <v>16</v>
      </c>
      <c r="D33" t="s">
        <v>12</v>
      </c>
      <c r="E33" t="s">
        <v>155</v>
      </c>
      <c r="F33" s="2">
        <v>45953</v>
      </c>
      <c r="G33" s="8">
        <v>0.45833333333333298</v>
      </c>
      <c r="H33">
        <v>0</v>
      </c>
      <c r="I33">
        <v>10</v>
      </c>
      <c r="J33">
        <v>0.52170000000000005</v>
      </c>
      <c r="M33">
        <f t="shared" si="0"/>
        <v>10</v>
      </c>
      <c r="N33">
        <v>9</v>
      </c>
      <c r="O33">
        <f t="shared" si="1"/>
        <v>0.9</v>
      </c>
      <c r="R33">
        <f t="shared" si="2"/>
        <v>10</v>
      </c>
      <c r="S33">
        <f t="shared" si="6"/>
        <v>1</v>
      </c>
      <c r="Z33">
        <v>39</v>
      </c>
      <c r="AB33" t="s">
        <v>1</v>
      </c>
      <c r="AC33" t="s">
        <v>1</v>
      </c>
      <c r="AD33">
        <v>24.99</v>
      </c>
      <c r="AE33">
        <v>10</v>
      </c>
      <c r="AF33">
        <v>7</v>
      </c>
      <c r="AG33">
        <v>2</v>
      </c>
      <c r="AH33">
        <v>2</v>
      </c>
    </row>
    <row r="34" spans="1:34" x14ac:dyDescent="0.55000000000000004">
      <c r="C34">
        <v>1</v>
      </c>
      <c r="D34" t="s">
        <v>6</v>
      </c>
      <c r="E34" t="s">
        <v>155</v>
      </c>
      <c r="F34" s="2">
        <v>45958</v>
      </c>
      <c r="G34" s="8">
        <v>0.41666666666666669</v>
      </c>
      <c r="H34">
        <v>3</v>
      </c>
      <c r="I34">
        <v>10</v>
      </c>
      <c r="M34">
        <f t="shared" ref="M34:M65" si="7">I34+L34</f>
        <v>10</v>
      </c>
      <c r="N34">
        <v>10</v>
      </c>
      <c r="O34">
        <f t="shared" ref="O34:O65" si="8">N34/M34</f>
        <v>1</v>
      </c>
      <c r="R34">
        <f t="shared" ref="R34:R65" si="9">I34+L34+P34</f>
        <v>10</v>
      </c>
      <c r="S34">
        <f t="shared" si="6"/>
        <v>0</v>
      </c>
      <c r="Z34">
        <v>40</v>
      </c>
      <c r="AA34">
        <v>30</v>
      </c>
      <c r="AB34" t="s">
        <v>1</v>
      </c>
      <c r="AC34" t="s">
        <v>1</v>
      </c>
      <c r="AD34">
        <v>23.44</v>
      </c>
      <c r="AE34">
        <v>10</v>
      </c>
      <c r="AF34">
        <v>8</v>
      </c>
      <c r="AG34">
        <v>2</v>
      </c>
      <c r="AH34">
        <v>2</v>
      </c>
    </row>
    <row r="35" spans="1:34" x14ac:dyDescent="0.55000000000000004">
      <c r="C35">
        <v>2</v>
      </c>
      <c r="D35" t="s">
        <v>13</v>
      </c>
      <c r="E35" t="s">
        <v>155</v>
      </c>
      <c r="F35" s="2">
        <v>45958</v>
      </c>
      <c r="G35" s="8">
        <v>0.41666666666666669</v>
      </c>
      <c r="H35">
        <v>3</v>
      </c>
      <c r="I35">
        <v>10</v>
      </c>
      <c r="M35">
        <f t="shared" si="7"/>
        <v>10</v>
      </c>
      <c r="N35">
        <v>3.5</v>
      </c>
      <c r="O35">
        <f t="shared" si="8"/>
        <v>0.35</v>
      </c>
      <c r="R35">
        <f t="shared" si="9"/>
        <v>10</v>
      </c>
      <c r="S35">
        <f t="shared" si="6"/>
        <v>6.5</v>
      </c>
      <c r="Z35">
        <v>41</v>
      </c>
      <c r="AB35" t="s">
        <v>1</v>
      </c>
      <c r="AC35" t="s">
        <v>16</v>
      </c>
      <c r="AD35">
        <v>39.75</v>
      </c>
      <c r="AE35">
        <v>42</v>
      </c>
      <c r="AF35">
        <v>8</v>
      </c>
      <c r="AG35">
        <v>2</v>
      </c>
      <c r="AH35">
        <v>2</v>
      </c>
    </row>
    <row r="36" spans="1:34" x14ac:dyDescent="0.55000000000000004">
      <c r="C36">
        <v>3</v>
      </c>
      <c r="D36" t="s">
        <v>12</v>
      </c>
      <c r="E36" t="s">
        <v>155</v>
      </c>
      <c r="F36" s="2">
        <v>45958</v>
      </c>
      <c r="G36" s="8">
        <v>0.41666666666666669</v>
      </c>
      <c r="H36">
        <v>3</v>
      </c>
      <c r="I36">
        <v>10</v>
      </c>
      <c r="M36">
        <f t="shared" si="7"/>
        <v>10</v>
      </c>
      <c r="N36">
        <v>4.5</v>
      </c>
      <c r="O36">
        <f t="shared" si="8"/>
        <v>0.45</v>
      </c>
      <c r="R36">
        <f t="shared" si="9"/>
        <v>10</v>
      </c>
      <c r="S36">
        <f t="shared" si="6"/>
        <v>5.5</v>
      </c>
      <c r="Z36">
        <v>42</v>
      </c>
      <c r="AA36">
        <v>97</v>
      </c>
      <c r="AB36" t="s">
        <v>1</v>
      </c>
      <c r="AC36" t="s">
        <v>1</v>
      </c>
      <c r="AD36">
        <v>29.75</v>
      </c>
      <c r="AE36">
        <v>16</v>
      </c>
      <c r="AF36">
        <v>6</v>
      </c>
      <c r="AG36">
        <v>1</v>
      </c>
      <c r="AH36">
        <v>2</v>
      </c>
    </row>
    <row r="37" spans="1:34" x14ac:dyDescent="0.55000000000000004">
      <c r="C37">
        <v>4</v>
      </c>
      <c r="D37" t="s">
        <v>6</v>
      </c>
      <c r="E37" t="s">
        <v>155</v>
      </c>
      <c r="F37" s="2">
        <v>45958</v>
      </c>
      <c r="G37" s="8">
        <v>0.41666666666666669</v>
      </c>
      <c r="H37">
        <v>3</v>
      </c>
      <c r="I37">
        <v>10</v>
      </c>
      <c r="M37">
        <f t="shared" si="7"/>
        <v>10</v>
      </c>
      <c r="N37">
        <v>7</v>
      </c>
      <c r="O37">
        <f t="shared" si="8"/>
        <v>0.7</v>
      </c>
      <c r="R37">
        <f t="shared" si="9"/>
        <v>10</v>
      </c>
      <c r="S37">
        <f t="shared" si="6"/>
        <v>3</v>
      </c>
      <c r="Z37">
        <v>43</v>
      </c>
      <c r="AA37">
        <v>77</v>
      </c>
      <c r="AB37" t="s">
        <v>1</v>
      </c>
      <c r="AC37" t="s">
        <v>1</v>
      </c>
      <c r="AD37">
        <v>26.6</v>
      </c>
      <c r="AE37">
        <v>13</v>
      </c>
      <c r="AF37">
        <v>7</v>
      </c>
      <c r="AG37">
        <v>2</v>
      </c>
      <c r="AH37">
        <v>0</v>
      </c>
    </row>
    <row r="38" spans="1:34" x14ac:dyDescent="0.55000000000000004">
      <c r="C38">
        <v>5</v>
      </c>
      <c r="D38" t="s">
        <v>13</v>
      </c>
      <c r="E38" t="s">
        <v>155</v>
      </c>
      <c r="F38" s="2">
        <v>45958</v>
      </c>
      <c r="G38" s="8">
        <v>0.41666666666666669</v>
      </c>
      <c r="H38">
        <v>3</v>
      </c>
      <c r="I38">
        <v>10</v>
      </c>
      <c r="M38">
        <f t="shared" si="7"/>
        <v>10</v>
      </c>
      <c r="N38">
        <v>5</v>
      </c>
      <c r="O38">
        <f t="shared" si="8"/>
        <v>0.5</v>
      </c>
      <c r="R38">
        <f t="shared" si="9"/>
        <v>10</v>
      </c>
      <c r="S38">
        <f t="shared" si="6"/>
        <v>5</v>
      </c>
      <c r="Z38">
        <v>44</v>
      </c>
      <c r="AB38" t="s">
        <v>1</v>
      </c>
      <c r="AC38" t="s">
        <v>16</v>
      </c>
      <c r="AD38">
        <v>35.270000000000003</v>
      </c>
      <c r="AE38">
        <v>30</v>
      </c>
      <c r="AF38">
        <v>8</v>
      </c>
      <c r="AG38">
        <v>2</v>
      </c>
      <c r="AH38">
        <v>2</v>
      </c>
    </row>
    <row r="39" spans="1:34" x14ac:dyDescent="0.55000000000000004">
      <c r="C39">
        <v>6</v>
      </c>
      <c r="D39" t="s">
        <v>12</v>
      </c>
      <c r="E39" t="s">
        <v>155</v>
      </c>
      <c r="F39" s="2">
        <v>45958</v>
      </c>
      <c r="G39" s="8">
        <v>0.41666666666666669</v>
      </c>
      <c r="H39">
        <v>3</v>
      </c>
      <c r="I39">
        <v>10</v>
      </c>
      <c r="M39">
        <f t="shared" si="7"/>
        <v>10</v>
      </c>
      <c r="N39">
        <v>8</v>
      </c>
      <c r="O39">
        <f t="shared" si="8"/>
        <v>0.8</v>
      </c>
      <c r="R39">
        <f t="shared" si="9"/>
        <v>10</v>
      </c>
      <c r="S39">
        <f t="shared" si="6"/>
        <v>2</v>
      </c>
      <c r="Z39">
        <v>45</v>
      </c>
      <c r="AB39" t="s">
        <v>1</v>
      </c>
      <c r="AC39" t="s">
        <v>1</v>
      </c>
      <c r="AD39">
        <v>25</v>
      </c>
      <c r="AE39">
        <v>10</v>
      </c>
      <c r="AF39">
        <v>8</v>
      </c>
      <c r="AG39">
        <v>1</v>
      </c>
      <c r="AH39">
        <v>2</v>
      </c>
    </row>
    <row r="40" spans="1:34" x14ac:dyDescent="0.55000000000000004">
      <c r="C40">
        <v>7</v>
      </c>
      <c r="D40" t="s">
        <v>6</v>
      </c>
      <c r="E40" t="s">
        <v>155</v>
      </c>
      <c r="F40" s="2">
        <v>45958</v>
      </c>
      <c r="G40" s="8">
        <v>0.41666666666666669</v>
      </c>
      <c r="H40">
        <v>3</v>
      </c>
      <c r="I40">
        <v>10</v>
      </c>
      <c r="M40">
        <f t="shared" si="7"/>
        <v>10</v>
      </c>
      <c r="N40">
        <v>8</v>
      </c>
      <c r="O40">
        <f t="shared" si="8"/>
        <v>0.8</v>
      </c>
      <c r="R40">
        <f t="shared" si="9"/>
        <v>10</v>
      </c>
      <c r="S40">
        <f t="shared" si="6"/>
        <v>2</v>
      </c>
      <c r="Z40">
        <v>46</v>
      </c>
      <c r="AB40" t="s">
        <v>1</v>
      </c>
      <c r="AC40" t="s">
        <v>1</v>
      </c>
      <c r="AD40">
        <v>28.41</v>
      </c>
      <c r="AE40">
        <v>17</v>
      </c>
      <c r="AF40">
        <v>8</v>
      </c>
      <c r="AG40">
        <v>2</v>
      </c>
      <c r="AH40">
        <v>2</v>
      </c>
    </row>
    <row r="41" spans="1:34" x14ac:dyDescent="0.55000000000000004">
      <c r="C41">
        <v>8</v>
      </c>
      <c r="D41" t="s">
        <v>13</v>
      </c>
      <c r="E41" t="s">
        <v>155</v>
      </c>
      <c r="F41" s="2">
        <v>45958</v>
      </c>
      <c r="G41" s="8">
        <v>0.41666666666666669</v>
      </c>
      <c r="H41">
        <v>3</v>
      </c>
      <c r="I41">
        <v>10</v>
      </c>
      <c r="M41">
        <f t="shared" si="7"/>
        <v>10</v>
      </c>
      <c r="N41">
        <v>7</v>
      </c>
      <c r="O41">
        <f t="shared" si="8"/>
        <v>0.7</v>
      </c>
      <c r="R41">
        <f t="shared" si="9"/>
        <v>10</v>
      </c>
      <c r="S41">
        <f t="shared" si="6"/>
        <v>3</v>
      </c>
      <c r="Z41">
        <v>47</v>
      </c>
      <c r="AB41" t="s">
        <v>1</v>
      </c>
      <c r="AC41" t="s">
        <v>1</v>
      </c>
      <c r="AD41">
        <v>25.04</v>
      </c>
      <c r="AE41">
        <v>11</v>
      </c>
      <c r="AF41">
        <v>7</v>
      </c>
      <c r="AG41">
        <v>2</v>
      </c>
      <c r="AH41">
        <v>2</v>
      </c>
    </row>
    <row r="42" spans="1:34" x14ac:dyDescent="0.55000000000000004">
      <c r="C42">
        <v>9</v>
      </c>
      <c r="D42" t="s">
        <v>12</v>
      </c>
      <c r="E42" t="s">
        <v>155</v>
      </c>
      <c r="F42" s="2">
        <v>45958</v>
      </c>
      <c r="G42" s="8">
        <v>0.41666666666666669</v>
      </c>
      <c r="H42">
        <v>3</v>
      </c>
      <c r="I42">
        <v>10</v>
      </c>
      <c r="M42">
        <f t="shared" si="7"/>
        <v>10</v>
      </c>
      <c r="N42">
        <v>9</v>
      </c>
      <c r="O42">
        <f t="shared" si="8"/>
        <v>0.9</v>
      </c>
      <c r="R42">
        <f t="shared" si="9"/>
        <v>10</v>
      </c>
      <c r="S42">
        <f t="shared" si="6"/>
        <v>1</v>
      </c>
      <c r="Z42">
        <v>48</v>
      </c>
      <c r="AA42">
        <v>99</v>
      </c>
      <c r="AB42" t="s">
        <v>1</v>
      </c>
      <c r="AC42" t="s">
        <v>1</v>
      </c>
      <c r="AD42">
        <v>25.24</v>
      </c>
      <c r="AE42">
        <v>10</v>
      </c>
      <c r="AF42">
        <v>4</v>
      </c>
      <c r="AG42">
        <v>0</v>
      </c>
      <c r="AH42">
        <v>2</v>
      </c>
    </row>
    <row r="43" spans="1:34" x14ac:dyDescent="0.55000000000000004">
      <c r="C43">
        <v>10</v>
      </c>
      <c r="D43" t="s">
        <v>6</v>
      </c>
      <c r="E43" t="s">
        <v>155</v>
      </c>
      <c r="F43" s="2">
        <v>45958</v>
      </c>
      <c r="G43" s="8">
        <v>0.41666666666666669</v>
      </c>
      <c r="H43">
        <v>3</v>
      </c>
      <c r="I43">
        <v>10</v>
      </c>
      <c r="M43">
        <f t="shared" si="7"/>
        <v>10</v>
      </c>
      <c r="N43">
        <v>9</v>
      </c>
      <c r="O43">
        <f t="shared" si="8"/>
        <v>0.9</v>
      </c>
      <c r="R43">
        <f t="shared" si="9"/>
        <v>10</v>
      </c>
      <c r="S43">
        <f t="shared" si="6"/>
        <v>1</v>
      </c>
      <c r="Z43">
        <v>49</v>
      </c>
      <c r="AB43" t="s">
        <v>1</v>
      </c>
      <c r="AC43" t="s">
        <v>0</v>
      </c>
      <c r="AD43">
        <v>21.09</v>
      </c>
      <c r="AE43">
        <v>8</v>
      </c>
      <c r="AF43">
        <v>7</v>
      </c>
      <c r="AG43">
        <v>2</v>
      </c>
      <c r="AH43">
        <v>2</v>
      </c>
    </row>
    <row r="44" spans="1:34" x14ac:dyDescent="0.55000000000000004">
      <c r="C44">
        <v>11</v>
      </c>
      <c r="D44" t="s">
        <v>13</v>
      </c>
      <c r="E44" t="s">
        <v>155</v>
      </c>
      <c r="F44" s="2">
        <v>45958</v>
      </c>
      <c r="G44" s="8">
        <v>0.41666666666666669</v>
      </c>
      <c r="H44">
        <v>3</v>
      </c>
      <c r="I44">
        <v>10</v>
      </c>
      <c r="M44">
        <f t="shared" si="7"/>
        <v>10</v>
      </c>
      <c r="N44">
        <v>10</v>
      </c>
      <c r="O44">
        <f t="shared" si="8"/>
        <v>1</v>
      </c>
      <c r="R44">
        <f t="shared" si="9"/>
        <v>10</v>
      </c>
      <c r="S44">
        <f t="shared" si="6"/>
        <v>0</v>
      </c>
      <c r="Z44">
        <v>50</v>
      </c>
      <c r="AB44" t="s">
        <v>1</v>
      </c>
      <c r="AC44" t="s">
        <v>16</v>
      </c>
      <c r="AD44">
        <v>32.94</v>
      </c>
      <c r="AE44">
        <v>24</v>
      </c>
      <c r="AF44">
        <v>7</v>
      </c>
      <c r="AG44">
        <v>2</v>
      </c>
      <c r="AH44">
        <v>2</v>
      </c>
    </row>
    <row r="45" spans="1:34" x14ac:dyDescent="0.55000000000000004">
      <c r="C45">
        <v>12</v>
      </c>
      <c r="D45" t="s">
        <v>12</v>
      </c>
      <c r="E45" t="s">
        <v>155</v>
      </c>
      <c r="F45" s="2">
        <v>45958</v>
      </c>
      <c r="G45" s="8">
        <v>0.41666666666666669</v>
      </c>
      <c r="H45">
        <v>3</v>
      </c>
      <c r="I45">
        <v>10</v>
      </c>
      <c r="M45">
        <f t="shared" si="7"/>
        <v>10</v>
      </c>
      <c r="N45">
        <v>5</v>
      </c>
      <c r="O45">
        <f t="shared" si="8"/>
        <v>0.5</v>
      </c>
      <c r="R45">
        <f t="shared" si="9"/>
        <v>10</v>
      </c>
      <c r="S45">
        <f t="shared" si="6"/>
        <v>5</v>
      </c>
      <c r="Z45">
        <v>51</v>
      </c>
      <c r="AB45" t="s">
        <v>1</v>
      </c>
      <c r="AC45" t="s">
        <v>1</v>
      </c>
      <c r="AD45">
        <v>26.97</v>
      </c>
      <c r="AE45">
        <v>13</v>
      </c>
      <c r="AF45">
        <v>8</v>
      </c>
      <c r="AG45">
        <v>2</v>
      </c>
      <c r="AH45">
        <v>2</v>
      </c>
    </row>
    <row r="46" spans="1:34" x14ac:dyDescent="0.55000000000000004">
      <c r="C46">
        <v>13</v>
      </c>
      <c r="D46" t="s">
        <v>6</v>
      </c>
      <c r="E46" t="s">
        <v>155</v>
      </c>
      <c r="F46" s="2">
        <v>45958</v>
      </c>
      <c r="G46" s="8">
        <v>0.41666666666666669</v>
      </c>
      <c r="H46">
        <v>3</v>
      </c>
      <c r="I46">
        <v>10</v>
      </c>
      <c r="M46">
        <f t="shared" si="7"/>
        <v>10</v>
      </c>
      <c r="N46">
        <v>7</v>
      </c>
      <c r="O46">
        <f t="shared" si="8"/>
        <v>0.7</v>
      </c>
      <c r="R46">
        <f t="shared" si="9"/>
        <v>10</v>
      </c>
      <c r="S46">
        <f t="shared" si="6"/>
        <v>3</v>
      </c>
      <c r="Z46">
        <v>52</v>
      </c>
      <c r="AA46">
        <v>26</v>
      </c>
      <c r="AB46" t="s">
        <v>1</v>
      </c>
      <c r="AC46" t="s">
        <v>16</v>
      </c>
      <c r="AD46">
        <v>30.1</v>
      </c>
      <c r="AE46">
        <v>19</v>
      </c>
      <c r="AF46">
        <v>8</v>
      </c>
      <c r="AG46">
        <v>2</v>
      </c>
      <c r="AH46">
        <v>2</v>
      </c>
    </row>
    <row r="47" spans="1:34" x14ac:dyDescent="0.55000000000000004">
      <c r="C47">
        <v>14</v>
      </c>
      <c r="D47" t="s">
        <v>13</v>
      </c>
      <c r="E47" t="s">
        <v>155</v>
      </c>
      <c r="F47" s="2">
        <v>45958</v>
      </c>
      <c r="G47" s="8">
        <v>0.41666666666666669</v>
      </c>
      <c r="H47">
        <v>3</v>
      </c>
      <c r="I47">
        <v>10</v>
      </c>
      <c r="M47">
        <f t="shared" si="7"/>
        <v>10</v>
      </c>
      <c r="N47">
        <v>9</v>
      </c>
      <c r="O47">
        <f t="shared" si="8"/>
        <v>0.9</v>
      </c>
      <c r="R47">
        <f t="shared" si="9"/>
        <v>10</v>
      </c>
      <c r="S47">
        <f t="shared" si="6"/>
        <v>1</v>
      </c>
      <c r="Z47">
        <v>53</v>
      </c>
      <c r="AA47">
        <v>102</v>
      </c>
      <c r="AB47" t="s">
        <v>1</v>
      </c>
      <c r="AC47" t="s">
        <v>1</v>
      </c>
      <c r="AD47">
        <v>26.62</v>
      </c>
      <c r="AE47">
        <v>13</v>
      </c>
      <c r="AF47">
        <v>7</v>
      </c>
      <c r="AG47">
        <v>2</v>
      </c>
      <c r="AH47">
        <v>1</v>
      </c>
    </row>
    <row r="48" spans="1:34" x14ac:dyDescent="0.55000000000000004">
      <c r="C48">
        <v>15</v>
      </c>
      <c r="D48" t="s">
        <v>12</v>
      </c>
      <c r="E48" t="s">
        <v>155</v>
      </c>
      <c r="F48" s="2">
        <v>45958</v>
      </c>
      <c r="G48" s="8">
        <v>0.41666666666666669</v>
      </c>
      <c r="H48">
        <v>3</v>
      </c>
      <c r="I48">
        <v>10</v>
      </c>
      <c r="M48">
        <f t="shared" si="7"/>
        <v>10</v>
      </c>
      <c r="N48">
        <v>5</v>
      </c>
      <c r="O48">
        <f t="shared" si="8"/>
        <v>0.5</v>
      </c>
      <c r="R48">
        <f t="shared" si="9"/>
        <v>10</v>
      </c>
      <c r="S48">
        <f t="shared" si="6"/>
        <v>5</v>
      </c>
      <c r="Z48">
        <v>54</v>
      </c>
      <c r="AB48" t="s">
        <v>1</v>
      </c>
      <c r="AC48" t="s">
        <v>16</v>
      </c>
      <c r="AD48">
        <v>38.04</v>
      </c>
      <c r="AE48">
        <v>34</v>
      </c>
      <c r="AF48">
        <v>7</v>
      </c>
      <c r="AG48">
        <v>2</v>
      </c>
      <c r="AH48">
        <v>2</v>
      </c>
    </row>
    <row r="49" spans="3:41" x14ac:dyDescent="0.55000000000000004">
      <c r="C49">
        <v>16</v>
      </c>
      <c r="D49" t="s">
        <v>6</v>
      </c>
      <c r="E49" t="s">
        <v>155</v>
      </c>
      <c r="F49" s="2">
        <v>45958</v>
      </c>
      <c r="G49" s="8">
        <v>0.41666666666666669</v>
      </c>
      <c r="H49">
        <v>3</v>
      </c>
      <c r="I49">
        <v>10</v>
      </c>
      <c r="M49">
        <f t="shared" si="7"/>
        <v>10</v>
      </c>
      <c r="N49">
        <v>10</v>
      </c>
      <c r="O49">
        <f t="shared" si="8"/>
        <v>1</v>
      </c>
      <c r="R49">
        <f t="shared" si="9"/>
        <v>10</v>
      </c>
      <c r="S49">
        <f t="shared" si="6"/>
        <v>0</v>
      </c>
      <c r="Z49">
        <v>55</v>
      </c>
      <c r="AA49">
        <v>87</v>
      </c>
      <c r="AB49" t="s">
        <v>1</v>
      </c>
      <c r="AC49" t="s">
        <v>0</v>
      </c>
      <c r="AD49">
        <v>21.59</v>
      </c>
      <c r="AE49">
        <v>8</v>
      </c>
      <c r="AF49">
        <v>5</v>
      </c>
      <c r="AG49">
        <v>2</v>
      </c>
      <c r="AH49">
        <v>2</v>
      </c>
      <c r="AN49" t="s">
        <v>159</v>
      </c>
      <c r="AO49" t="s">
        <v>158</v>
      </c>
    </row>
    <row r="50" spans="3:41" x14ac:dyDescent="0.55000000000000004">
      <c r="C50">
        <v>1</v>
      </c>
      <c r="D50" t="s">
        <v>13</v>
      </c>
      <c r="E50" t="s">
        <v>155</v>
      </c>
      <c r="F50" s="2">
        <v>45959</v>
      </c>
      <c r="G50" s="8">
        <v>0.47916666666666669</v>
      </c>
      <c r="H50">
        <v>4</v>
      </c>
      <c r="I50">
        <v>10</v>
      </c>
      <c r="M50">
        <f t="shared" si="7"/>
        <v>10</v>
      </c>
      <c r="N50">
        <v>9.5</v>
      </c>
      <c r="O50">
        <f t="shared" si="8"/>
        <v>0.95</v>
      </c>
      <c r="R50">
        <f t="shared" si="9"/>
        <v>10</v>
      </c>
      <c r="S50">
        <f t="shared" si="6"/>
        <v>0.5</v>
      </c>
      <c r="Z50">
        <v>56</v>
      </c>
      <c r="AA50">
        <v>99</v>
      </c>
      <c r="AB50" t="s">
        <v>1</v>
      </c>
      <c r="AC50" t="s">
        <v>1</v>
      </c>
      <c r="AD50">
        <v>27.07</v>
      </c>
      <c r="AE50">
        <v>12</v>
      </c>
      <c r="AF50">
        <v>8</v>
      </c>
      <c r="AG50">
        <v>1</v>
      </c>
      <c r="AH50">
        <v>2</v>
      </c>
    </row>
    <row r="51" spans="3:41" x14ac:dyDescent="0.55000000000000004">
      <c r="C51">
        <v>2</v>
      </c>
      <c r="D51" t="s">
        <v>12</v>
      </c>
      <c r="E51" t="s">
        <v>155</v>
      </c>
      <c r="F51" s="2">
        <v>45959</v>
      </c>
      <c r="G51" s="8">
        <v>0.47916666666666669</v>
      </c>
      <c r="H51">
        <v>4</v>
      </c>
      <c r="I51">
        <v>10</v>
      </c>
      <c r="M51">
        <f t="shared" si="7"/>
        <v>10</v>
      </c>
      <c r="N51">
        <v>6.5</v>
      </c>
      <c r="O51">
        <f t="shared" si="8"/>
        <v>0.65</v>
      </c>
      <c r="R51">
        <f t="shared" si="9"/>
        <v>10</v>
      </c>
      <c r="S51">
        <f t="shared" si="6"/>
        <v>3.5</v>
      </c>
      <c r="Z51">
        <v>57</v>
      </c>
      <c r="AA51">
        <v>41</v>
      </c>
      <c r="AB51" t="s">
        <v>1</v>
      </c>
      <c r="AC51" t="s">
        <v>16</v>
      </c>
      <c r="AD51">
        <v>38.49</v>
      </c>
      <c r="AE51">
        <v>40</v>
      </c>
      <c r="AF51">
        <v>8</v>
      </c>
      <c r="AG51">
        <v>2</v>
      </c>
      <c r="AH51">
        <v>2</v>
      </c>
    </row>
    <row r="52" spans="3:41" x14ac:dyDescent="0.55000000000000004">
      <c r="C52">
        <v>3</v>
      </c>
      <c r="D52" t="s">
        <v>6</v>
      </c>
      <c r="E52" t="s">
        <v>155</v>
      </c>
      <c r="F52" s="2">
        <v>45959</v>
      </c>
      <c r="G52" s="8">
        <v>0.47916666666666702</v>
      </c>
      <c r="H52">
        <v>4</v>
      </c>
      <c r="I52">
        <v>10</v>
      </c>
      <c r="M52">
        <f t="shared" si="7"/>
        <v>10</v>
      </c>
      <c r="N52">
        <v>8.5</v>
      </c>
      <c r="O52">
        <f t="shared" si="8"/>
        <v>0.85</v>
      </c>
      <c r="R52">
        <f t="shared" si="9"/>
        <v>10</v>
      </c>
      <c r="S52">
        <f t="shared" si="6"/>
        <v>1.5</v>
      </c>
      <c r="Z52">
        <v>58</v>
      </c>
      <c r="AA52">
        <v>70</v>
      </c>
      <c r="AB52" t="s">
        <v>1</v>
      </c>
      <c r="AC52" t="s">
        <v>1</v>
      </c>
      <c r="AD52">
        <v>25.21</v>
      </c>
      <c r="AE52">
        <v>10</v>
      </c>
      <c r="AF52">
        <v>6</v>
      </c>
      <c r="AG52">
        <v>1</v>
      </c>
      <c r="AH52">
        <v>1</v>
      </c>
    </row>
    <row r="53" spans="3:41" x14ac:dyDescent="0.55000000000000004">
      <c r="C53">
        <v>4</v>
      </c>
      <c r="D53" t="s">
        <v>13</v>
      </c>
      <c r="E53" t="s">
        <v>155</v>
      </c>
      <c r="F53" s="2">
        <v>45959</v>
      </c>
      <c r="G53" s="8">
        <v>0.47916666666666702</v>
      </c>
      <c r="H53">
        <v>4</v>
      </c>
      <c r="I53">
        <v>10</v>
      </c>
      <c r="M53">
        <f t="shared" si="7"/>
        <v>10</v>
      </c>
      <c r="N53">
        <v>8.5</v>
      </c>
      <c r="O53">
        <f t="shared" si="8"/>
        <v>0.85</v>
      </c>
      <c r="R53">
        <f t="shared" si="9"/>
        <v>10</v>
      </c>
      <c r="S53">
        <f t="shared" si="6"/>
        <v>1.5</v>
      </c>
      <c r="Z53">
        <v>59</v>
      </c>
      <c r="AA53">
        <v>80</v>
      </c>
      <c r="AB53" t="s">
        <v>1</v>
      </c>
      <c r="AC53" t="s">
        <v>1</v>
      </c>
      <c r="AD53">
        <v>25.84</v>
      </c>
      <c r="AE53">
        <v>14</v>
      </c>
      <c r="AF53">
        <v>8</v>
      </c>
      <c r="AG53">
        <v>2</v>
      </c>
      <c r="AH53">
        <v>2</v>
      </c>
    </row>
    <row r="54" spans="3:41" x14ac:dyDescent="0.55000000000000004">
      <c r="C54">
        <v>5</v>
      </c>
      <c r="D54" t="s">
        <v>12</v>
      </c>
      <c r="E54" t="s">
        <v>155</v>
      </c>
      <c r="F54" s="2">
        <v>45959</v>
      </c>
      <c r="G54" s="8">
        <v>0.47916666666666702</v>
      </c>
      <c r="H54">
        <v>4</v>
      </c>
      <c r="I54">
        <v>10</v>
      </c>
      <c r="M54">
        <f t="shared" si="7"/>
        <v>10</v>
      </c>
      <c r="N54">
        <v>9</v>
      </c>
      <c r="O54">
        <f t="shared" si="8"/>
        <v>0.9</v>
      </c>
      <c r="R54">
        <f t="shared" si="9"/>
        <v>10</v>
      </c>
      <c r="S54">
        <f t="shared" si="6"/>
        <v>1</v>
      </c>
      <c r="Z54">
        <v>60</v>
      </c>
      <c r="AB54" t="s">
        <v>1</v>
      </c>
      <c r="AC54" t="s">
        <v>1</v>
      </c>
      <c r="AD54">
        <v>23.41</v>
      </c>
      <c r="AE54">
        <v>9</v>
      </c>
      <c r="AF54">
        <v>8</v>
      </c>
      <c r="AG54">
        <v>1</v>
      </c>
      <c r="AH54">
        <v>2</v>
      </c>
    </row>
    <row r="55" spans="3:41" x14ac:dyDescent="0.55000000000000004">
      <c r="C55">
        <v>6</v>
      </c>
      <c r="D55" t="s">
        <v>6</v>
      </c>
      <c r="E55" t="s">
        <v>155</v>
      </c>
      <c r="F55" s="2">
        <v>45959</v>
      </c>
      <c r="G55" s="8">
        <v>0.47916666666666702</v>
      </c>
      <c r="H55">
        <v>4</v>
      </c>
      <c r="I55">
        <v>10</v>
      </c>
      <c r="M55">
        <f t="shared" si="7"/>
        <v>10</v>
      </c>
      <c r="N55">
        <v>9</v>
      </c>
      <c r="O55">
        <f t="shared" si="8"/>
        <v>0.9</v>
      </c>
      <c r="R55">
        <f t="shared" si="9"/>
        <v>10</v>
      </c>
      <c r="S55">
        <f t="shared" si="6"/>
        <v>1</v>
      </c>
      <c r="Z55">
        <v>61</v>
      </c>
      <c r="AA55">
        <v>81</v>
      </c>
      <c r="AB55" t="s">
        <v>1</v>
      </c>
      <c r="AC55" t="s">
        <v>16</v>
      </c>
      <c r="AD55">
        <v>30.38</v>
      </c>
      <c r="AE55">
        <v>22</v>
      </c>
      <c r="AF55">
        <v>8</v>
      </c>
      <c r="AG55">
        <v>2</v>
      </c>
      <c r="AH55">
        <v>2</v>
      </c>
    </row>
    <row r="56" spans="3:41" x14ac:dyDescent="0.55000000000000004">
      <c r="C56">
        <v>7</v>
      </c>
      <c r="D56" t="s">
        <v>13</v>
      </c>
      <c r="E56" t="s">
        <v>155</v>
      </c>
      <c r="F56" s="2">
        <v>45959</v>
      </c>
      <c r="G56" s="8">
        <v>0.47916666666666702</v>
      </c>
      <c r="H56">
        <v>4</v>
      </c>
      <c r="I56">
        <v>10</v>
      </c>
      <c r="M56">
        <f t="shared" si="7"/>
        <v>10</v>
      </c>
      <c r="N56">
        <v>10</v>
      </c>
      <c r="O56">
        <f t="shared" si="8"/>
        <v>1</v>
      </c>
      <c r="R56">
        <f t="shared" si="9"/>
        <v>10</v>
      </c>
      <c r="S56">
        <f t="shared" si="6"/>
        <v>0</v>
      </c>
      <c r="Z56">
        <v>62</v>
      </c>
      <c r="AA56">
        <v>92</v>
      </c>
      <c r="AB56" t="s">
        <v>1</v>
      </c>
      <c r="AC56" t="s">
        <v>0</v>
      </c>
      <c r="AD56">
        <v>20.48</v>
      </c>
      <c r="AE56">
        <v>6</v>
      </c>
      <c r="AF56">
        <v>8</v>
      </c>
      <c r="AG56">
        <v>2</v>
      </c>
      <c r="AH56">
        <v>2</v>
      </c>
    </row>
    <row r="57" spans="3:41" x14ac:dyDescent="0.55000000000000004">
      <c r="C57">
        <v>8</v>
      </c>
      <c r="D57" t="s">
        <v>12</v>
      </c>
      <c r="E57" t="s">
        <v>155</v>
      </c>
      <c r="F57" s="2">
        <v>45959</v>
      </c>
      <c r="G57" s="8">
        <v>0.47916666666666702</v>
      </c>
      <c r="H57">
        <v>4</v>
      </c>
      <c r="I57">
        <v>10</v>
      </c>
      <c r="M57">
        <f t="shared" si="7"/>
        <v>10</v>
      </c>
      <c r="N57">
        <v>8.5</v>
      </c>
      <c r="O57">
        <f t="shared" si="8"/>
        <v>0.85</v>
      </c>
      <c r="R57">
        <f t="shared" si="9"/>
        <v>10</v>
      </c>
      <c r="S57">
        <f t="shared" si="6"/>
        <v>1.5</v>
      </c>
      <c r="Z57">
        <v>63</v>
      </c>
      <c r="AB57" t="s">
        <v>1</v>
      </c>
      <c r="AC57" t="s">
        <v>16</v>
      </c>
      <c r="AD57">
        <v>40.880000000000003</v>
      </c>
      <c r="AE57">
        <v>41</v>
      </c>
      <c r="AF57">
        <v>8</v>
      </c>
      <c r="AG57">
        <v>1</v>
      </c>
      <c r="AH57">
        <v>2</v>
      </c>
    </row>
    <row r="58" spans="3:41" x14ac:dyDescent="0.55000000000000004">
      <c r="C58">
        <v>9</v>
      </c>
      <c r="D58" t="s">
        <v>6</v>
      </c>
      <c r="E58" t="s">
        <v>155</v>
      </c>
      <c r="F58" s="2">
        <v>45959</v>
      </c>
      <c r="G58" s="8">
        <v>0.47916666666666702</v>
      </c>
      <c r="H58">
        <v>4</v>
      </c>
      <c r="I58">
        <v>10</v>
      </c>
      <c r="M58">
        <f t="shared" si="7"/>
        <v>10</v>
      </c>
      <c r="N58">
        <v>10</v>
      </c>
      <c r="O58">
        <f t="shared" si="8"/>
        <v>1</v>
      </c>
      <c r="R58">
        <f t="shared" si="9"/>
        <v>10</v>
      </c>
      <c r="S58">
        <f t="shared" si="6"/>
        <v>0</v>
      </c>
      <c r="Z58">
        <v>64</v>
      </c>
      <c r="AA58">
        <v>90</v>
      </c>
      <c r="AB58" t="s">
        <v>1</v>
      </c>
      <c r="AC58" t="s">
        <v>16</v>
      </c>
      <c r="AD58">
        <v>31.11</v>
      </c>
      <c r="AE58">
        <v>20</v>
      </c>
      <c r="AF58">
        <v>7</v>
      </c>
      <c r="AG58">
        <v>2</v>
      </c>
      <c r="AH58">
        <v>2</v>
      </c>
    </row>
    <row r="59" spans="3:41" x14ac:dyDescent="0.55000000000000004">
      <c r="C59">
        <v>10</v>
      </c>
      <c r="D59" t="s">
        <v>13</v>
      </c>
      <c r="E59" t="s">
        <v>155</v>
      </c>
      <c r="F59" s="2">
        <v>45959</v>
      </c>
      <c r="G59" s="8">
        <v>0.47916666666666702</v>
      </c>
      <c r="H59">
        <v>4</v>
      </c>
      <c r="I59">
        <v>10</v>
      </c>
      <c r="M59">
        <f t="shared" si="7"/>
        <v>10</v>
      </c>
      <c r="N59">
        <v>1</v>
      </c>
      <c r="O59">
        <f t="shared" si="8"/>
        <v>0.1</v>
      </c>
      <c r="R59">
        <f t="shared" si="9"/>
        <v>10</v>
      </c>
      <c r="S59">
        <f t="shared" si="6"/>
        <v>9</v>
      </c>
      <c r="Z59">
        <v>65</v>
      </c>
      <c r="AB59" t="s">
        <v>1</v>
      </c>
      <c r="AC59" t="s">
        <v>16</v>
      </c>
      <c r="AD59">
        <v>35.61</v>
      </c>
      <c r="AE59">
        <v>27</v>
      </c>
      <c r="AF59">
        <v>8</v>
      </c>
      <c r="AG59">
        <v>2</v>
      </c>
      <c r="AH59">
        <v>2</v>
      </c>
      <c r="AO59" t="s">
        <v>157</v>
      </c>
    </row>
    <row r="60" spans="3:41" x14ac:dyDescent="0.55000000000000004">
      <c r="C60">
        <v>11</v>
      </c>
      <c r="D60" t="s">
        <v>12</v>
      </c>
      <c r="E60" t="s">
        <v>155</v>
      </c>
      <c r="F60" s="2">
        <v>45959</v>
      </c>
      <c r="G60" s="8">
        <v>0.47916666666666702</v>
      </c>
      <c r="H60">
        <v>4</v>
      </c>
      <c r="I60">
        <v>10</v>
      </c>
      <c r="M60">
        <f t="shared" si="7"/>
        <v>10</v>
      </c>
      <c r="N60">
        <v>9.5</v>
      </c>
      <c r="O60">
        <f t="shared" si="8"/>
        <v>0.95</v>
      </c>
      <c r="R60">
        <f t="shared" si="9"/>
        <v>10</v>
      </c>
      <c r="S60">
        <f t="shared" si="6"/>
        <v>0.5</v>
      </c>
      <c r="Z60">
        <v>66</v>
      </c>
      <c r="AB60" t="s">
        <v>1</v>
      </c>
      <c r="AC60" t="s">
        <v>1</v>
      </c>
      <c r="AD60">
        <v>28.04</v>
      </c>
      <c r="AE60">
        <v>15</v>
      </c>
      <c r="AF60">
        <v>8</v>
      </c>
      <c r="AG60">
        <v>2</v>
      </c>
      <c r="AH60">
        <v>2</v>
      </c>
    </row>
    <row r="61" spans="3:41" x14ac:dyDescent="0.55000000000000004">
      <c r="C61">
        <v>12</v>
      </c>
      <c r="D61" t="s">
        <v>6</v>
      </c>
      <c r="E61" t="s">
        <v>155</v>
      </c>
      <c r="F61" s="2">
        <v>45959</v>
      </c>
      <c r="G61" s="8">
        <v>0.47916666666666702</v>
      </c>
      <c r="H61">
        <v>4</v>
      </c>
      <c r="I61">
        <v>10</v>
      </c>
      <c r="M61">
        <f t="shared" si="7"/>
        <v>10</v>
      </c>
      <c r="N61">
        <v>9</v>
      </c>
      <c r="O61">
        <f t="shared" si="8"/>
        <v>0.9</v>
      </c>
      <c r="R61">
        <f t="shared" si="9"/>
        <v>10</v>
      </c>
      <c r="S61">
        <f t="shared" si="6"/>
        <v>1</v>
      </c>
      <c r="Z61">
        <v>67</v>
      </c>
      <c r="AA61">
        <v>83</v>
      </c>
      <c r="AB61" t="s">
        <v>1</v>
      </c>
      <c r="AC61" t="s">
        <v>1</v>
      </c>
      <c r="AD61">
        <v>28.37</v>
      </c>
      <c r="AE61">
        <v>15</v>
      </c>
      <c r="AF61">
        <v>8</v>
      </c>
      <c r="AG61">
        <v>2</v>
      </c>
      <c r="AH61">
        <v>2</v>
      </c>
    </row>
    <row r="62" spans="3:41" x14ac:dyDescent="0.55000000000000004">
      <c r="C62">
        <v>13</v>
      </c>
      <c r="D62" t="s">
        <v>13</v>
      </c>
      <c r="E62" t="s">
        <v>155</v>
      </c>
      <c r="F62" s="2">
        <v>45959</v>
      </c>
      <c r="G62" s="8">
        <v>0.47916666666666702</v>
      </c>
      <c r="H62">
        <v>4</v>
      </c>
      <c r="I62">
        <v>10</v>
      </c>
      <c r="M62">
        <f t="shared" si="7"/>
        <v>10</v>
      </c>
      <c r="N62">
        <v>8</v>
      </c>
      <c r="O62">
        <f t="shared" si="8"/>
        <v>0.8</v>
      </c>
      <c r="R62">
        <f t="shared" si="9"/>
        <v>10</v>
      </c>
      <c r="S62">
        <f t="shared" si="6"/>
        <v>2</v>
      </c>
      <c r="Z62">
        <v>68</v>
      </c>
      <c r="AB62" t="s">
        <v>1</v>
      </c>
      <c r="AC62" t="s">
        <v>1</v>
      </c>
      <c r="AD62">
        <v>25.25</v>
      </c>
      <c r="AE62">
        <v>11</v>
      </c>
      <c r="AF62">
        <v>8</v>
      </c>
      <c r="AG62">
        <v>2</v>
      </c>
      <c r="AH62">
        <v>2</v>
      </c>
    </row>
    <row r="63" spans="3:41" x14ac:dyDescent="0.55000000000000004">
      <c r="C63">
        <v>14</v>
      </c>
      <c r="D63" t="s">
        <v>12</v>
      </c>
      <c r="E63" t="s">
        <v>155</v>
      </c>
      <c r="F63" s="2">
        <v>45959</v>
      </c>
      <c r="G63" s="8">
        <v>0.47916666666666702</v>
      </c>
      <c r="H63">
        <v>4</v>
      </c>
      <c r="I63">
        <v>10</v>
      </c>
      <c r="M63">
        <f t="shared" si="7"/>
        <v>10</v>
      </c>
      <c r="N63">
        <v>9.5</v>
      </c>
      <c r="O63">
        <f t="shared" si="8"/>
        <v>0.95</v>
      </c>
      <c r="R63">
        <f t="shared" si="9"/>
        <v>10</v>
      </c>
      <c r="S63">
        <f t="shared" si="6"/>
        <v>0.5</v>
      </c>
      <c r="Z63">
        <v>69</v>
      </c>
      <c r="AA63">
        <v>76</v>
      </c>
      <c r="AB63" t="s">
        <v>1</v>
      </c>
      <c r="AC63" t="s">
        <v>16</v>
      </c>
      <c r="AD63">
        <v>30.46</v>
      </c>
      <c r="AE63">
        <v>20</v>
      </c>
      <c r="AF63">
        <v>8</v>
      </c>
      <c r="AG63">
        <v>2</v>
      </c>
      <c r="AH63">
        <v>2</v>
      </c>
    </row>
    <row r="64" spans="3:41" x14ac:dyDescent="0.55000000000000004">
      <c r="C64">
        <v>15</v>
      </c>
      <c r="D64" t="s">
        <v>6</v>
      </c>
      <c r="E64" t="s">
        <v>155</v>
      </c>
      <c r="F64" s="2">
        <v>45959</v>
      </c>
      <c r="G64" s="8">
        <v>0.47916666666666702</v>
      </c>
      <c r="H64">
        <v>4</v>
      </c>
      <c r="I64">
        <v>10</v>
      </c>
      <c r="M64">
        <f t="shared" si="7"/>
        <v>10</v>
      </c>
      <c r="N64">
        <v>10</v>
      </c>
      <c r="O64">
        <f t="shared" si="8"/>
        <v>1</v>
      </c>
      <c r="R64">
        <f t="shared" si="9"/>
        <v>10</v>
      </c>
      <c r="S64">
        <f t="shared" si="6"/>
        <v>0</v>
      </c>
      <c r="Z64">
        <v>70</v>
      </c>
      <c r="AA64">
        <v>79</v>
      </c>
      <c r="AB64" t="s">
        <v>1</v>
      </c>
      <c r="AC64" t="s">
        <v>1</v>
      </c>
      <c r="AD64">
        <v>24.78</v>
      </c>
      <c r="AE64">
        <v>10</v>
      </c>
      <c r="AF64">
        <v>6</v>
      </c>
      <c r="AG64">
        <v>2</v>
      </c>
      <c r="AH64">
        <v>2</v>
      </c>
    </row>
    <row r="65" spans="3:34" x14ac:dyDescent="0.55000000000000004">
      <c r="C65">
        <v>16</v>
      </c>
      <c r="D65" t="s">
        <v>13</v>
      </c>
      <c r="E65" t="s">
        <v>155</v>
      </c>
      <c r="F65" s="2">
        <v>45959</v>
      </c>
      <c r="G65" s="8">
        <v>0.47916666666666702</v>
      </c>
      <c r="H65">
        <v>4</v>
      </c>
      <c r="I65">
        <v>10</v>
      </c>
      <c r="M65">
        <f t="shared" si="7"/>
        <v>10</v>
      </c>
      <c r="N65">
        <v>8</v>
      </c>
      <c r="O65">
        <f t="shared" si="8"/>
        <v>0.8</v>
      </c>
      <c r="R65">
        <f t="shared" si="9"/>
        <v>10</v>
      </c>
      <c r="S65">
        <f t="shared" si="6"/>
        <v>2</v>
      </c>
      <c r="Z65">
        <v>71</v>
      </c>
      <c r="AB65" t="s">
        <v>1</v>
      </c>
      <c r="AC65" t="s">
        <v>1</v>
      </c>
      <c r="AD65">
        <v>24.34</v>
      </c>
      <c r="AE65">
        <v>9</v>
      </c>
      <c r="AF65">
        <v>8</v>
      </c>
      <c r="AG65">
        <v>2</v>
      </c>
      <c r="AH65">
        <v>1</v>
      </c>
    </row>
    <row r="66" spans="3:34" x14ac:dyDescent="0.55000000000000004">
      <c r="G66" s="8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NCE_exp</vt:lpstr>
      <vt:lpstr>Long</vt:lpstr>
      <vt:lpstr>GoPro</vt:lpstr>
      <vt:lpstr>Feeding</vt:lpstr>
      <vt:lpstr>pellet_weigth</vt:lpstr>
      <vt:lpstr>Feeding2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Raven, Olivier (Student)</dc:creator>
  <cp:lastModifiedBy>Raven, Olivier (Student)</cp:lastModifiedBy>
  <dcterms:created xsi:type="dcterms:W3CDTF">2026-01-26T22:59:20Z</dcterms:created>
  <dcterms:modified xsi:type="dcterms:W3CDTF">2026-03-29T20:53:40Z</dcterms:modified>
</cp:coreProperties>
</file>